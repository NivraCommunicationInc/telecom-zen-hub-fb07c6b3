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ypothèses" state="visible" r:id="rId4"/>
    <sheet sheetId="2" name="Projection 36 mois" state="visible" r:id="rId5"/>
    <sheet sheetId="3" name="Monte Carlo" state="visible" r:id="rId6"/>
    <sheet sheetId="4" name="Sensibilité Prix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9" authorId="0">
      <text>
        <r>
          <t>Année 1</t>
        </r>
      </text>
    </comment>
    <comment ref="A21" authorId="0">
      <text>
        <r>
          <t>Année 2</t>
        </r>
      </text>
    </comment>
    <comment ref="A33" authorId="0">
      <text>
        <r>
          <t>Année 3</t>
        </r>
      </text>
    </comment>
  </commentList>
</comments>
</file>

<file path=xl/sharedStrings.xml><?xml version="1.0" encoding="utf-8"?>
<sst xmlns="http://schemas.openxmlformats.org/spreadsheetml/2006/main" count="216" uniqueCount="162">
  <si>
    <t xml:space="preserve">  MODÈLE DE PROJECTION FINANCIÈRE — NIVRA TELECOM 2026-2028</t>
  </si>
  <si>
    <t xml:space="preserve">  Généré le 2026-06-13  |  Cellules bleues = inputs modifiables</t>
  </si>
  <si>
    <t>BASE — Paramètres de départ</t>
  </si>
  <si>
    <t>Valeur</t>
  </si>
  <si>
    <t>Note</t>
  </si>
  <si>
    <t>Abonnés actuels (mois 0)</t>
  </si>
  <si>
    <t>Point de départ au 1er janvier 2026</t>
  </si>
  <si>
    <t>ARPU moyen ($/abonné/mois)</t>
  </si>
  <si>
    <t>Average Revenue Per User — prépayé Québec</t>
  </si>
  <si>
    <t>Churn mensuel (%)</t>
  </si>
  <si>
    <t>Taux de désabonnement mensuel estimé</t>
  </si>
  <si>
    <t>SCÉNARIOS DE CROISSANCE</t>
  </si>
  <si>
    <t>Nouveaux abonnés/mois</t>
  </si>
  <si>
    <t/>
  </si>
  <si>
    <t>Pessimiste</t>
  </si>
  <si>
    <t>Marché difficile, peu de marketing</t>
  </si>
  <si>
    <t>Base</t>
  </si>
  <si>
    <t>Scénario de référence</t>
  </si>
  <si>
    <t>Optimiste</t>
  </si>
  <si>
    <t>Expansion agressive, bouche-à-oreille fort</t>
  </si>
  <si>
    <t>COÛTS FIXES MENSUELS</t>
  </si>
  <si>
    <t>Montant ($)</t>
  </si>
  <si>
    <t>Infrastructure / réseau wholesale</t>
  </si>
  <si>
    <t>Salaires et contrats</t>
  </si>
  <si>
    <t>Marketing et acquisition</t>
  </si>
  <si>
    <t>Admin / légal / compliance CRTC</t>
  </si>
  <si>
    <t>Technologie (AWS, Supabase, SaaS)</t>
  </si>
  <si>
    <t>Autres dépenses opérationnelles</t>
  </si>
  <si>
    <t>TOTAL COÛTS FIXES MENSUELS</t>
  </si>
  <si>
    <t>COÛTS VARIABLES</t>
  </si>
  <si>
    <t>Montant</t>
  </si>
  <si>
    <t>Coût acquisition / SIM ($/nouvel abonné)</t>
  </si>
  <si>
    <t>Carte SIM + activation</t>
  </si>
  <si>
    <t>Coût réseau variable ($/abonné/mois)</t>
  </si>
  <si>
    <t>Coût MVNO / réseau hôte</t>
  </si>
  <si>
    <t xml:space="preserve">  Cellules bleues = Inputs modifiables  |  Noir = Formules calculées  |  Jaune = Totaux</t>
  </si>
  <si>
    <t xml:space="preserve">  PROJECTION FINANCIÈRE 36 MOIS — NIVRA TELECOM (formules liées à l'onglet Hypothèses)</t>
  </si>
  <si>
    <t>▼  PESSIMISTE  (50 nouveaux/mois)</t>
  </si>
  <si>
    <t>▼  BASE  (120 nouveaux/mois)</t>
  </si>
  <si>
    <t>▼  OPTIMISTE  (250 nouveaux/mois)</t>
  </si>
  <si>
    <t>Mois</t>
  </si>
  <si>
    <t>Date</t>
  </si>
  <si>
    <t>Nouveaux</t>
  </si>
  <si>
    <t>Churnés</t>
  </si>
  <si>
    <t>Abonnés</t>
  </si>
  <si>
    <t>Revenus</t>
  </si>
  <si>
    <t>Coût acq.</t>
  </si>
  <si>
    <t>Coût réseau</t>
  </si>
  <si>
    <t>Fixes</t>
  </si>
  <si>
    <t>EBITDA</t>
  </si>
  <si>
    <t>EBITDA cum.</t>
  </si>
  <si>
    <t>RÉSUMÉ ANNUEL</t>
  </si>
  <si>
    <t>Année 1 (Mois 1–12)</t>
  </si>
  <si>
    <t>Année 2 (Mois 13–24)</t>
  </si>
  <si>
    <t>Année 3 (Mois 25–36)</t>
  </si>
  <si>
    <t>TOTAL 3 ANS</t>
  </si>
  <si>
    <t xml:space="preserve">  SIMULATION MONTE CARLO — 1 000 SIMULATIONS  |  Variables : ARPU ~ N(42, 4$)  |  Churn ~ N(2.5%, 0.5%)  |  Croissance = 120/mois (Base)</t>
  </si>
  <si>
    <t>Statistique</t>
  </si>
  <si>
    <t>Moy.</t>
  </si>
  <si>
    <t>Médiane</t>
  </si>
  <si>
    <t>Éc.-type</t>
  </si>
  <si>
    <t>P10</t>
  </si>
  <si>
    <t>P25</t>
  </si>
  <si>
    <t>P75</t>
  </si>
  <si>
    <t>P90</t>
  </si>
  <si>
    <t>Min</t>
  </si>
  <si>
    <t>Max</t>
  </si>
  <si>
    <t>Revenus An 1 ($)</t>
  </si>
  <si>
    <t>Revenus An 3 ($)</t>
  </si>
  <si>
    <t>EBITDA An 1 ($)</t>
  </si>
  <si>
    <t>EBITDA An 3 ($)</t>
  </si>
  <si>
    <t>EBITDA Total 3 ans ($)</t>
  </si>
  <si>
    <t>Abonnés fin An 3</t>
  </si>
  <si>
    <t>Probabilités clés</t>
  </si>
  <si>
    <t>Probabilité d'atteindre le seuil de rentabilité (36 mois)</t>
  </si>
  <si>
    <t>100.0%</t>
  </si>
  <si>
    <t>Mois de rentabilité moyen (si atteint)</t>
  </si>
  <si>
    <t>Mois 5.6</t>
  </si>
  <si>
    <t>Probabilité EBITDA An 3 positif</t>
  </si>
  <si>
    <t>Probabilité EBITDA cumulatif positif (3 ans)</t>
  </si>
  <si>
    <t>Distribution — EBITDA An 3</t>
  </si>
  <si>
    <t>Fréquence</t>
  </si>
  <si>
    <t>% cumulatif</t>
  </si>
  <si>
    <t>300k$ à 350k$</t>
  </si>
  <si>
    <t>0.1%</t>
  </si>
  <si>
    <t>350k$ à 400k$</t>
  </si>
  <si>
    <t>400k$ à 450k$</t>
  </si>
  <si>
    <t>0.5%</t>
  </si>
  <si>
    <t>450k$ à 500k$</t>
  </si>
  <si>
    <t>1.6%</t>
  </si>
  <si>
    <t>500k$ à 550k$</t>
  </si>
  <si>
    <t>3.1%</t>
  </si>
  <si>
    <t>550k$ à 600k$</t>
  </si>
  <si>
    <t>6.1%</t>
  </si>
  <si>
    <t>600k$ à 650k$</t>
  </si>
  <si>
    <t>12.8%</t>
  </si>
  <si>
    <t>650k$ à 700k$</t>
  </si>
  <si>
    <t>21.8%</t>
  </si>
  <si>
    <t>700k$ à 750k$</t>
  </si>
  <si>
    <t>33.5%</t>
  </si>
  <si>
    <t>750k$ à 800k$</t>
  </si>
  <si>
    <t>46.7%</t>
  </si>
  <si>
    <t>800k$ à 850k$</t>
  </si>
  <si>
    <t>61.5%</t>
  </si>
  <si>
    <t>850k$ à 900k$</t>
  </si>
  <si>
    <t>74.4%</t>
  </si>
  <si>
    <t>900k$ à 950k$</t>
  </si>
  <si>
    <t>83.1%</t>
  </si>
  <si>
    <t>950k$ à 1000k$</t>
  </si>
  <si>
    <t>90.5%</t>
  </si>
  <si>
    <t>1000k$ à 1050k$</t>
  </si>
  <si>
    <t>94.7%</t>
  </si>
  <si>
    <t>1050k$ à 1100k$</t>
  </si>
  <si>
    <t>97.9%</t>
  </si>
  <si>
    <t>1100k$ à 1150k$</t>
  </si>
  <si>
    <t>98.9%</t>
  </si>
  <si>
    <t>1150k$ à 1200k$</t>
  </si>
  <si>
    <t>99.8%</t>
  </si>
  <si>
    <t>1200k$ à 1250k$</t>
  </si>
  <si>
    <t>99.9%</t>
  </si>
  <si>
    <t>1250k$ à 1300k$</t>
  </si>
  <si>
    <t>Échantillon (20 premières simulations)</t>
  </si>
  <si>
    <t>ARPU sim.</t>
  </si>
  <si>
    <t>Churn sim.</t>
  </si>
  <si>
    <t>Rev. An 1</t>
  </si>
  <si>
    <t>Rev. An 3</t>
  </si>
  <si>
    <t>EBITDA An 1</t>
  </si>
  <si>
    <t>EBITDA An 3</t>
  </si>
  <si>
    <t>Rentab. (mois)</t>
  </si>
  <si>
    <t>Simulation 1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</si>
  <si>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</si>
  <si>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</si>
  <si>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</si>
  <si>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</si>
  <si>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</si>
  <si>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</si>
  <si>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</si>
  <si>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</si>
  <si>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</si>
  <si>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</si>
  <si>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</si>
  <si>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</si>
  <si>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</si>
  <si>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</si>
  <si>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</si>
  <si>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</si>
  <si>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</si>
  <si>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</si>
  <si>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</si>
  <si>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 xml:space="preserve">  ANALYSE DE SENSIBILITÉ — ARPU (40$ / 45$ / 50$)  ×  CROISSANCE (50 / 120 / 250 abonnés/mois)</t>
  </si>
  <si>
    <t>REVENUS ANNUELS — ANNÉE 1</t>
  </si>
  <si>
    <t>Croissance \ ARPU</t>
  </si>
  <si>
    <t>$40/mois</t>
  </si>
  <si>
    <t>$45/mois</t>
  </si>
  <si>
    <t>$50/mois</t>
  </si>
  <si>
    <t>Pessimiste (50/mois)</t>
  </si>
  <si>
    <t>Base (120/mois)</t>
  </si>
  <si>
    <t>Optimiste (250/mois)</t>
  </si>
  <si>
    <t>REVENUS ANNUELS — ANNÉE 3</t>
  </si>
  <si>
    <t>EBITDA ANNUEL — ANNÉE 3</t>
  </si>
  <si>
    <t>MOIS DE RENTABILITÉ (seuil de rentabilité)</t>
  </si>
  <si>
    <t>🟢 Vert = Meilleur résultat dans la matrice   🔴 Rouge = Pire résultat / objectif non atteint   🟡 Jaune = Intermédiaire   Paramètres fixes : Churn=2.5%, Abonnés initiaux=13, Coûts fixes=$18 000/mois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</si>
</sst>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0.0%"/>
    <numFmt numFmtId="166" formatCode="&quot;$&quot;#,##0"/>
    <numFmt numFmtId="167" formatCode="mmm-yyyy"/>
    <numFmt numFmtId="168" formatCode="&quot;$&quot;#,##0;[Red](&quot;$&quot;#,##0)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808080"/>
      <sz val="9"/>
    </font>
    <font>
      <b/>
      <color rgb="FFFFFFFF"/>
      <sz val="10"/>
    </font>
    <font>
      <b/>
      <color rgb="FF0070C0"/>
    </font>
    <font>
      <b/>
    </font>
    <font>
      <i/>
      <color rgb="FF404040"/>
      <sz val="9"/>
    </font>
    <font>
      <b/>
      <color rgb="FFFFFFFF"/>
      <sz val="12"/>
    </font>
    <font>
      <b/>
      <color rgb="FFFFFFFF"/>
      <sz val="11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7030A0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0" fillId="0" borderId="1" xfId="0" applyBorder="1"/>
    <xf numFmtId="3" fontId="4" fillId="3" borderId="1" xfId="0" applyNumberFormat="1" applyFont="1" applyFill="1" applyBorder="1"/>
    <xf numFmtId="0" fontId="2" fillId="0" borderId="1" xfId="0" applyFont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3" borderId="1" xfId="0" applyFont="1" applyFill="1" applyBorder="1"/>
    <xf numFmtId="166" fontId="4" fillId="3" borderId="1" xfId="0" applyNumberFormat="1" applyFont="1" applyFill="1" applyBorder="1"/>
    <xf numFmtId="0" fontId="5" fillId="0" borderId="1" xfId="0" applyFont="1" applyBorder="1"/>
    <xf numFmtId="166" fontId="5" fillId="6" borderId="1" xfId="0" applyNumberFormat="1" applyFont="1" applyFill="1" applyBorder="1"/>
    <xf numFmtId="0" fontId="6" fillId="7" borderId="0" xfId="0" applyFont="1" applyFill="1"/>
    <xf numFmtId="0" fontId="7" fillId="2" borderId="0" xfId="0" applyFont="1" applyFill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167" fontId="0" fillId="0" borderId="0" xfId="0" applyNumberFormat="1"/>
    <xf numFmtId="3" fontId="0" fillId="0" borderId="0" xfId="0" applyNumberFormat="1"/>
    <xf numFmtId="3" fontId="5" fillId="0" borderId="0" xfId="0" applyNumberFormat="1" applyFont="1"/>
    <xf numFmtId="166" fontId="0" fillId="0" borderId="0" xfId="0" applyNumberFormat="1"/>
    <xf numFmtId="168" fontId="5" fillId="0" borderId="0" xfId="0" applyNumberFormat="1" applyFont="1"/>
    <xf numFmtId="168" fontId="0" fillId="0" borderId="0" xfId="0" applyNumberFormat="1"/>
    <xf numFmtId="3" fontId="0" fillId="8" borderId="0" xfId="0" applyNumberFormat="1" applyFill="1"/>
    <xf numFmtId="3" fontId="5" fillId="8" borderId="0" xfId="0" applyNumberFormat="1" applyFont="1" applyFill="1"/>
    <xf numFmtId="166" fontId="0" fillId="8" borderId="0" xfId="0" applyNumberFormat="1" applyFill="1"/>
    <xf numFmtId="168" fontId="5" fillId="8" borderId="0" xfId="0" applyNumberFormat="1" applyFont="1" applyFill="1"/>
    <xf numFmtId="168" fontId="0" fillId="8" borderId="0" xfId="0" applyNumberFormat="1" applyFill="1"/>
    <xf numFmtId="3" fontId="0" fillId="8" borderId="2" xfId="0" applyNumberFormat="1" applyFill="1" applyBorder="1"/>
    <xf numFmtId="3" fontId="5" fillId="8" borderId="2" xfId="0" applyNumberFormat="1" applyFont="1" applyFill="1" applyBorder="1"/>
    <xf numFmtId="166" fontId="0" fillId="8" borderId="2" xfId="0" applyNumberFormat="1" applyFill="1" applyBorder="1"/>
    <xf numFmtId="168" fontId="5" fillId="8" borderId="2" xfId="0" applyNumberFormat="1" applyFont="1" applyFill="1" applyBorder="1"/>
    <xf numFmtId="168" fontId="0" fillId="8" borderId="2" xfId="0" applyNumberFormat="1" applyFill="1" applyBorder="1"/>
    <xf numFmtId="3" fontId="0" fillId="0" borderId="1" xfId="0" applyNumberFormat="1" applyBorder="1"/>
    <xf numFmtId="166" fontId="0" fillId="0" borderId="1" xfId="0" applyNumberFormat="1" applyBorder="1"/>
    <xf numFmtId="168" fontId="5" fillId="0" borderId="1" xfId="0" applyNumberFormat="1" applyFont="1" applyBorder="1"/>
    <xf numFmtId="166" fontId="0" fillId="6" borderId="1" xfId="0" applyNumberFormat="1" applyFill="1" applyBorder="1"/>
    <xf numFmtId="168" fontId="5" fillId="6" borderId="1" xfId="0" applyNumberFormat="1" applyFont="1" applyFill="1" applyBorder="1"/>
    <xf numFmtId="0" fontId="8" fillId="9" borderId="0" xfId="0" applyFont="1" applyFill="1"/>
    <xf numFmtId="0" fontId="3" fillId="9" borderId="1" xfId="0" applyFont="1" applyFill="1" applyBorder="1" applyAlignment="1">
      <alignment horizontal="center"/>
    </xf>
    <xf numFmtId="168" fontId="0" fillId="0" borderId="1" xfId="0" applyNumberFormat="1" applyBorder="1"/>
    <xf numFmtId="0" fontId="3" fillId="9" borderId="0" xfId="0" applyFont="1" applyFill="1"/>
    <xf numFmtId="0" fontId="0" fillId="0" borderId="1" xfId="0" applyBorder="1" applyAlignment="1">
      <alignment horizontal="center"/>
    </xf>
    <xf numFmtId="0" fontId="3" fillId="9" borderId="1" xfId="0" applyFont="1" applyFill="1" applyBorder="1"/>
    <xf numFmtId="0" fontId="0" fillId="5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8" borderId="1" xfId="0" applyFill="1" applyBorder="1"/>
    <xf numFmtId="164" fontId="0" fillId="8" borderId="1" xfId="0" applyNumberFormat="1" applyFill="1" applyBorder="1"/>
    <xf numFmtId="165" fontId="0" fillId="8" borderId="1" xfId="0" applyNumberFormat="1" applyFill="1" applyBorder="1"/>
    <xf numFmtId="166" fontId="0" fillId="8" borderId="1" xfId="0" applyNumberFormat="1" applyFill="1" applyBorder="1"/>
    <xf numFmtId="168" fontId="0" fillId="8" borderId="1" xfId="0" applyNumberFormat="1" applyFill="1" applyBorder="1"/>
    <xf numFmtId="0" fontId="8" fillId="10" borderId="0" xfId="0" applyFont="1" applyFill="1"/>
    <xf numFmtId="0" fontId="3" fillId="2" borderId="1" xfId="0" applyFon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8" fontId="0" fillId="6" borderId="1" xfId="0" applyNumberForma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0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0" customHeight="1" spans="1:3" s="3" customFormat="1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13</v>
      </c>
      <c r="C5" s="6" t="s">
        <v>6</v>
      </c>
    </row>
    <row r="6" spans="1:3" x14ac:dyDescent="0.25">
      <c r="A6" s="4" t="s">
        <v>7</v>
      </c>
      <c r="B6" s="7">
        <v>42</v>
      </c>
      <c r="C6" s="6" t="s">
        <v>8</v>
      </c>
    </row>
    <row r="7" spans="1:3" x14ac:dyDescent="0.25">
      <c r="A7" s="4" t="s">
        <v>9</v>
      </c>
      <c r="B7" s="8">
        <v>0.025</v>
      </c>
      <c r="C7" s="6" t="s">
        <v>10</v>
      </c>
    </row>
    <row r="9" ht="20" customHeight="1" spans="1:3" s="3" customFormat="1" x14ac:dyDescent="0.25">
      <c r="A9" s="3" t="s">
        <v>11</v>
      </c>
      <c r="B9" s="3" t="s">
        <v>12</v>
      </c>
      <c r="C9" s="3" t="s">
        <v>13</v>
      </c>
    </row>
    <row r="10" spans="1:3" x14ac:dyDescent="0.25">
      <c r="A10" s="9" t="s">
        <v>14</v>
      </c>
      <c r="B10" s="5">
        <v>50</v>
      </c>
      <c r="C10" s="6" t="s">
        <v>15</v>
      </c>
    </row>
    <row r="11" spans="1:3" x14ac:dyDescent="0.25">
      <c r="A11" s="10" t="s">
        <v>16</v>
      </c>
      <c r="B11" s="5">
        <v>120</v>
      </c>
      <c r="C11" s="6" t="s">
        <v>17</v>
      </c>
    </row>
    <row r="12" spans="1:3" x14ac:dyDescent="0.25">
      <c r="A12" s="11" t="s">
        <v>18</v>
      </c>
      <c r="B12" s="5">
        <v>250</v>
      </c>
      <c r="C12" s="6" t="s">
        <v>19</v>
      </c>
    </row>
    <row r="14" ht="20" customHeight="1" spans="1:3" s="3" customFormat="1" x14ac:dyDescent="0.25">
      <c r="A14" s="3" t="s">
        <v>20</v>
      </c>
      <c r="B14" s="3" t="s">
        <v>21</v>
      </c>
      <c r="C14" s="3" t="s">
        <v>13</v>
      </c>
    </row>
    <row r="15" spans="1:3" x14ac:dyDescent="0.25">
      <c r="A15" s="4" t="s">
        <v>22</v>
      </c>
      <c r="B15" s="12">
        <v>5000</v>
      </c>
      <c r="C15" t="s">
        <v>13</v>
      </c>
    </row>
    <row r="16" spans="1:3" x14ac:dyDescent="0.25">
      <c r="A16" s="4" t="s">
        <v>23</v>
      </c>
      <c r="B16" s="12">
        <v>8000</v>
      </c>
      <c r="C16" t="s">
        <v>13</v>
      </c>
    </row>
    <row r="17" spans="1:3" x14ac:dyDescent="0.25">
      <c r="A17" s="4" t="s">
        <v>24</v>
      </c>
      <c r="B17" s="12">
        <v>2000</v>
      </c>
      <c r="C17" t="s">
        <v>13</v>
      </c>
    </row>
    <row r="18" spans="1:3" x14ac:dyDescent="0.25">
      <c r="A18" s="4" t="s">
        <v>25</v>
      </c>
      <c r="B18" s="12">
        <v>1500</v>
      </c>
      <c r="C18" t="s">
        <v>13</v>
      </c>
    </row>
    <row r="19" spans="1:3" x14ac:dyDescent="0.25">
      <c r="A19" s="4" t="s">
        <v>26</v>
      </c>
      <c r="B19" s="12">
        <v>500</v>
      </c>
      <c r="C19" t="s">
        <v>13</v>
      </c>
    </row>
    <row r="20" spans="1:3" x14ac:dyDescent="0.25">
      <c r="A20" s="4" t="s">
        <v>27</v>
      </c>
      <c r="B20" s="12">
        <v>1000</v>
      </c>
      <c r="C20" t="s">
        <v>13</v>
      </c>
    </row>
    <row r="21" spans="1:3" x14ac:dyDescent="0.25">
      <c r="A21" s="13" t="s">
        <v>28</v>
      </c>
      <c r="B21" s="14">
        <f>SUM(B15:B20)</f>
      </c>
      <c r="C21" t="s">
        <v>13</v>
      </c>
    </row>
    <row r="23" ht="20" customHeight="1" spans="1:3" s="3" customFormat="1" x14ac:dyDescent="0.25">
      <c r="A23" s="3" t="s">
        <v>29</v>
      </c>
      <c r="B23" s="3" t="s">
        <v>30</v>
      </c>
      <c r="C23" s="3" t="s">
        <v>13</v>
      </c>
    </row>
    <row r="24" spans="1:3" x14ac:dyDescent="0.25">
      <c r="A24" s="4" t="s">
        <v>31</v>
      </c>
      <c r="B24" s="7">
        <v>15</v>
      </c>
      <c r="C24" s="6" t="s">
        <v>32</v>
      </c>
    </row>
    <row r="25" spans="1:3" x14ac:dyDescent="0.25">
      <c r="A25" s="4" t="s">
        <v>33</v>
      </c>
      <c r="B25" s="7">
        <v>8</v>
      </c>
      <c r="C25" s="6" t="s">
        <v>34</v>
      </c>
    </row>
    <row r="27" spans="1:3" x14ac:dyDescent="0.25">
      <c r="A27" s="15" t="s">
        <v>35</v>
      </c>
      <c r="B27" s="15"/>
      <c r="C27" s="15"/>
    </row>
  </sheetData>
  <mergeCells count="3">
    <mergeCell ref="A1:C1"/>
    <mergeCell ref="A2:C2"/>
    <mergeCell ref="A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3" customWidth="1"/>
    <col min="3" max="11" width="14" customWidth="1"/>
    <col min="12" max="12" width="3" customWidth="1"/>
    <col min="13" max="21" width="14" customWidth="1"/>
    <col min="22" max="22" width="3" customWidth="1"/>
    <col min="23" max="31" width="14" customWidth="1"/>
  </cols>
  <sheetData>
    <row r="1" ht="24" customHeight="1" spans="1:31" x14ac:dyDescent="0.25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ht="20" customHeight="1" spans="1:31" x14ac:dyDescent="0.25">
      <c r="A2" t="s">
        <v>13</v>
      </c>
      <c r="B2" t="s">
        <v>13</v>
      </c>
      <c r="C2" s="17" t="s">
        <v>37</v>
      </c>
      <c r="D2" s="17"/>
      <c r="E2" s="17"/>
      <c r="F2" s="17"/>
      <c r="G2" s="17"/>
      <c r="H2" s="17"/>
      <c r="I2" s="17"/>
      <c r="J2" s="17"/>
      <c r="K2" s="17"/>
      <c r="M2" s="18" t="s">
        <v>38</v>
      </c>
      <c r="N2" s="18"/>
      <c r="O2" s="18"/>
      <c r="P2" s="18"/>
      <c r="Q2" s="18"/>
      <c r="R2" s="18"/>
      <c r="S2" s="18"/>
      <c r="T2" s="18"/>
      <c r="U2" s="18"/>
      <c r="W2" s="19" t="s">
        <v>39</v>
      </c>
      <c r="X2" s="19"/>
      <c r="Y2" s="19"/>
      <c r="Z2" s="19"/>
      <c r="AA2" s="19"/>
      <c r="AB2" s="19"/>
      <c r="AC2" s="19"/>
      <c r="AD2" s="19"/>
      <c r="AE2" s="19"/>
    </row>
    <row r="3" ht="28" customHeight="1" spans="1:31" x14ac:dyDescent="0.25">
      <c r="A3" s="20" t="s">
        <v>40</v>
      </c>
      <c r="B3" s="20" t="s">
        <v>41</v>
      </c>
      <c r="C3" s="20" t="s">
        <v>42</v>
      </c>
      <c r="D3" s="20" t="s">
        <v>43</v>
      </c>
      <c r="E3" s="20" t="s">
        <v>44</v>
      </c>
      <c r="F3" s="20" t="s">
        <v>45</v>
      </c>
      <c r="G3" s="20" t="s">
        <v>46</v>
      </c>
      <c r="H3" s="20" t="s">
        <v>47</v>
      </c>
      <c r="I3" s="20" t="s">
        <v>48</v>
      </c>
      <c r="J3" s="20" t="s">
        <v>49</v>
      </c>
      <c r="K3" s="20" t="s">
        <v>50</v>
      </c>
      <c r="M3" s="20" t="s">
        <v>42</v>
      </c>
      <c r="N3" s="20" t="s">
        <v>43</v>
      </c>
      <c r="O3" s="20" t="s">
        <v>44</v>
      </c>
      <c r="P3" s="20" t="s">
        <v>45</v>
      </c>
      <c r="Q3" s="20" t="s">
        <v>46</v>
      </c>
      <c r="R3" s="20" t="s">
        <v>47</v>
      </c>
      <c r="S3" s="20" t="s">
        <v>48</v>
      </c>
      <c r="T3" s="20" t="s">
        <v>49</v>
      </c>
      <c r="U3" s="20" t="s">
        <v>50</v>
      </c>
      <c r="W3" s="20" t="s">
        <v>42</v>
      </c>
      <c r="X3" s="20" t="s">
        <v>43</v>
      </c>
      <c r="Y3" s="20" t="s">
        <v>44</v>
      </c>
      <c r="Z3" s="20" t="s">
        <v>45</v>
      </c>
      <c r="AA3" s="20" t="s">
        <v>46</v>
      </c>
      <c r="AB3" s="20" t="s">
        <v>47</v>
      </c>
      <c r="AC3" s="20" t="s">
        <v>48</v>
      </c>
      <c r="AD3" s="20" t="s">
        <v>49</v>
      </c>
      <c r="AE3" s="20" t="s">
        <v>50</v>
      </c>
    </row>
    <row r="4" ht="18" customHeight="1" spans="1:31" x14ac:dyDescent="0.25">
      <c r="A4" s="21">
        <v>1</v>
      </c>
      <c r="B4" s="22">
        <v>46023.20833333333</v>
      </c>
      <c r="C4" s="23">
        <f>Hypothèses!B10</f>
      </c>
      <c r="D4" s="23">
        <f>ROUND(Hypothèses!B5*Hypothèses!$B$7,0)</f>
      </c>
      <c r="E4" s="24">
        <f>Hypothèses!B5+C4-D4</f>
      </c>
      <c r="F4" s="25">
        <f>E4*Hypothèses!$B$6</f>
      </c>
      <c r="G4" s="25">
        <f>C4*Hypothèses!$B$24</f>
      </c>
      <c r="H4" s="25">
        <f>E4*Hypothèses!$B$25</f>
      </c>
      <c r="I4" s="25">
        <f>Hypothèses!$B$21</f>
      </c>
      <c r="J4" s="26">
        <f>F4-G4-H4-I4</f>
      </c>
      <c r="K4" s="27">
        <f>J4</f>
      </c>
      <c r="M4" s="23">
        <f>Hypothèses!B11</f>
      </c>
      <c r="N4" s="23">
        <f>ROUND(Hypothèses!B5*Hypothèses!$B$7,0)</f>
      </c>
      <c r="O4" s="24">
        <f>Hypothèses!B5+M4-N4</f>
      </c>
      <c r="P4" s="25">
        <f>O4*Hypothèses!$B$6</f>
      </c>
      <c r="Q4" s="25">
        <f>M4*Hypothèses!$B$24</f>
      </c>
      <c r="R4" s="25">
        <f>O4*Hypothèses!$B$25</f>
      </c>
      <c r="S4" s="25">
        <f>Hypothèses!$B$21</f>
      </c>
      <c r="T4" s="26">
        <f>P4-Q4-R4-S4</f>
      </c>
      <c r="U4" s="27">
        <f>T4</f>
      </c>
      <c r="W4" s="23">
        <f>Hypothèses!B12</f>
      </c>
      <c r="X4" s="23">
        <f>ROUND(Hypothèses!B5*Hypothèses!$B$7,0)</f>
      </c>
      <c r="Y4" s="24">
        <f>Hypothèses!B5+W4-X4</f>
      </c>
      <c r="Z4" s="25">
        <f>Y4*Hypothèses!$B$6</f>
      </c>
      <c r="AA4" s="25">
        <f>W4*Hypothèses!$B$24</f>
      </c>
      <c r="AB4" s="25">
        <f>Y4*Hypothèses!$B$25</f>
      </c>
      <c r="AC4" s="25">
        <f>Hypothèses!$B$21</f>
      </c>
      <c r="AD4" s="26">
        <f>Z4-AA4-AB4-AC4</f>
      </c>
      <c r="AE4" s="27">
        <f>AD4</f>
      </c>
    </row>
    <row r="5" ht="18" customHeight="1" spans="1:31" x14ac:dyDescent="0.25">
      <c r="A5" s="21">
        <v>2</v>
      </c>
      <c r="B5" s="22">
        <v>46054.20833333333</v>
      </c>
      <c r="C5" s="28">
        <f>Hypothèses!B10</f>
      </c>
      <c r="D5" s="28">
        <f>ROUND(E4*Hypothèses!$B$7,0)</f>
      </c>
      <c r="E5" s="29">
        <f>E4+C5-D5</f>
      </c>
      <c r="F5" s="30">
        <f>E5*Hypothèses!$B$6</f>
      </c>
      <c r="G5" s="30">
        <f>C5*Hypothèses!$B$24</f>
      </c>
      <c r="H5" s="30">
        <f>E5*Hypothèses!$B$25</f>
      </c>
      <c r="I5" s="30">
        <f>Hypothèses!$B$21</f>
      </c>
      <c r="J5" s="31">
        <f>F5-G5-H5-I5</f>
      </c>
      <c r="K5" s="32">
        <f>K4+J5</f>
      </c>
      <c r="M5" s="28">
        <f>Hypothèses!B11</f>
      </c>
      <c r="N5" s="28">
        <f>ROUND(O4*Hypothèses!$B$7,0)</f>
      </c>
      <c r="O5" s="29">
        <f>O4+M5-N5</f>
      </c>
      <c r="P5" s="30">
        <f>O5*Hypothèses!$B$6</f>
      </c>
      <c r="Q5" s="30">
        <f>M5*Hypothèses!$B$24</f>
      </c>
      <c r="R5" s="30">
        <f>O5*Hypothèses!$B$25</f>
      </c>
      <c r="S5" s="30">
        <f>Hypothèses!$B$21</f>
      </c>
      <c r="T5" s="31">
        <f>P5-Q5-R5-S5</f>
      </c>
      <c r="U5" s="32">
        <f>U4+T5</f>
      </c>
      <c r="W5" s="28">
        <f>Hypothèses!B12</f>
      </c>
      <c r="X5" s="28">
        <f>ROUND(Y4*Hypothèses!$B$7,0)</f>
      </c>
      <c r="Y5" s="29">
        <f>Y4+W5-X5</f>
      </c>
      <c r="Z5" s="30">
        <f>Y5*Hypothèses!$B$6</f>
      </c>
      <c r="AA5" s="30">
        <f>W5*Hypothèses!$B$24</f>
      </c>
      <c r="AB5" s="30">
        <f>Y5*Hypothèses!$B$25</f>
      </c>
      <c r="AC5" s="30">
        <f>Hypothèses!$B$21</f>
      </c>
      <c r="AD5" s="31">
        <f>Z5-AA5-AB5-AC5</f>
      </c>
      <c r="AE5" s="32">
        <f>AE4+AD5</f>
      </c>
    </row>
    <row r="6" ht="18" customHeight="1" spans="1:31" x14ac:dyDescent="0.25">
      <c r="A6" s="21">
        <v>3</v>
      </c>
      <c r="B6" s="22">
        <v>46082.20833333333</v>
      </c>
      <c r="C6" s="23">
        <f>Hypothèses!B10</f>
      </c>
      <c r="D6" s="23">
        <f>ROUND(E5*Hypothèses!$B$7,0)</f>
      </c>
      <c r="E6" s="24">
        <f>E5+C6-D6</f>
      </c>
      <c r="F6" s="25">
        <f>E6*Hypothèses!$B$6</f>
      </c>
      <c r="G6" s="25">
        <f>C6*Hypothèses!$B$24</f>
      </c>
      <c r="H6" s="25">
        <f>E6*Hypothèses!$B$25</f>
      </c>
      <c r="I6" s="25">
        <f>Hypothèses!$B$21</f>
      </c>
      <c r="J6" s="26">
        <f>F6-G6-H6-I6</f>
      </c>
      <c r="K6" s="27">
        <f>K5+J6</f>
      </c>
      <c r="M6" s="23">
        <f>Hypothèses!B11</f>
      </c>
      <c r="N6" s="23">
        <f>ROUND(O5*Hypothèses!$B$7,0)</f>
      </c>
      <c r="O6" s="24">
        <f>O5+M6-N6</f>
      </c>
      <c r="P6" s="25">
        <f>O6*Hypothèses!$B$6</f>
      </c>
      <c r="Q6" s="25">
        <f>M6*Hypothèses!$B$24</f>
      </c>
      <c r="R6" s="25">
        <f>O6*Hypothèses!$B$25</f>
      </c>
      <c r="S6" s="25">
        <f>Hypothèses!$B$21</f>
      </c>
      <c r="T6" s="26">
        <f>P6-Q6-R6-S6</f>
      </c>
      <c r="U6" s="27">
        <f>U5+T6</f>
      </c>
      <c r="W6" s="23">
        <f>Hypothèses!B12</f>
      </c>
      <c r="X6" s="23">
        <f>ROUND(Y5*Hypothèses!$B$7,0)</f>
      </c>
      <c r="Y6" s="24">
        <f>Y5+W6-X6</f>
      </c>
      <c r="Z6" s="25">
        <f>Y6*Hypothèses!$B$6</f>
      </c>
      <c r="AA6" s="25">
        <f>W6*Hypothèses!$B$24</f>
      </c>
      <c r="AB6" s="25">
        <f>Y6*Hypothèses!$B$25</f>
      </c>
      <c r="AC6" s="25">
        <f>Hypothèses!$B$21</f>
      </c>
      <c r="AD6" s="26">
        <f>Z6-AA6-AB6-AC6</f>
      </c>
      <c r="AE6" s="27">
        <f>AE5+AD6</f>
      </c>
    </row>
    <row r="7" ht="18" customHeight="1" spans="1:31" x14ac:dyDescent="0.25">
      <c r="A7" s="21">
        <v>4</v>
      </c>
      <c r="B7" s="22">
        <v>46113.16666666667</v>
      </c>
      <c r="C7" s="28">
        <f>Hypothèses!B10</f>
      </c>
      <c r="D7" s="28">
        <f>ROUND(E6*Hypothèses!$B$7,0)</f>
      </c>
      <c r="E7" s="29">
        <f>E6+C7-D7</f>
      </c>
      <c r="F7" s="30">
        <f>E7*Hypothèses!$B$6</f>
      </c>
      <c r="G7" s="30">
        <f>C7*Hypothèses!$B$24</f>
      </c>
      <c r="H7" s="30">
        <f>E7*Hypothèses!$B$25</f>
      </c>
      <c r="I7" s="30">
        <f>Hypothèses!$B$21</f>
      </c>
      <c r="J7" s="31">
        <f>F7-G7-H7-I7</f>
      </c>
      <c r="K7" s="32">
        <f>K6+J7</f>
      </c>
      <c r="M7" s="28">
        <f>Hypothèses!B11</f>
      </c>
      <c r="N7" s="28">
        <f>ROUND(O6*Hypothèses!$B$7,0)</f>
      </c>
      <c r="O7" s="29">
        <f>O6+M7-N7</f>
      </c>
      <c r="P7" s="30">
        <f>O7*Hypothèses!$B$6</f>
      </c>
      <c r="Q7" s="30">
        <f>M7*Hypothèses!$B$24</f>
      </c>
      <c r="R7" s="30">
        <f>O7*Hypothèses!$B$25</f>
      </c>
      <c r="S7" s="30">
        <f>Hypothèses!$B$21</f>
      </c>
      <c r="T7" s="31">
        <f>P7-Q7-R7-S7</f>
      </c>
      <c r="U7" s="32">
        <f>U6+T7</f>
      </c>
      <c r="W7" s="28">
        <f>Hypothèses!B12</f>
      </c>
      <c r="X7" s="28">
        <f>ROUND(Y6*Hypothèses!$B$7,0)</f>
      </c>
      <c r="Y7" s="29">
        <f>Y6+W7-X7</f>
      </c>
      <c r="Z7" s="30">
        <f>Y7*Hypothèses!$B$6</f>
      </c>
      <c r="AA7" s="30">
        <f>W7*Hypothèses!$B$24</f>
      </c>
      <c r="AB7" s="30">
        <f>Y7*Hypothèses!$B$25</f>
      </c>
      <c r="AC7" s="30">
        <f>Hypothèses!$B$21</f>
      </c>
      <c r="AD7" s="31">
        <f>Z7-AA7-AB7-AC7</f>
      </c>
      <c r="AE7" s="32">
        <f>AE6+AD7</f>
      </c>
    </row>
    <row r="8" ht="18" customHeight="1" spans="1:31" x14ac:dyDescent="0.25">
      <c r="A8" s="21">
        <v>5</v>
      </c>
      <c r="B8" s="22">
        <v>46143.16666666667</v>
      </c>
      <c r="C8" s="23">
        <f>Hypothèses!B10</f>
      </c>
      <c r="D8" s="23">
        <f>ROUND(E7*Hypothèses!$B$7,0)</f>
      </c>
      <c r="E8" s="24">
        <f>E7+C8-D8</f>
      </c>
      <c r="F8" s="25">
        <f>E8*Hypothèses!$B$6</f>
      </c>
      <c r="G8" s="25">
        <f>C8*Hypothèses!$B$24</f>
      </c>
      <c r="H8" s="25">
        <f>E8*Hypothèses!$B$25</f>
      </c>
      <c r="I8" s="25">
        <f>Hypothèses!$B$21</f>
      </c>
      <c r="J8" s="26">
        <f>F8-G8-H8-I8</f>
      </c>
      <c r="K8" s="27">
        <f>K7+J8</f>
      </c>
      <c r="M8" s="23">
        <f>Hypothèses!B11</f>
      </c>
      <c r="N8" s="23">
        <f>ROUND(O7*Hypothèses!$B$7,0)</f>
      </c>
      <c r="O8" s="24">
        <f>O7+M8-N8</f>
      </c>
      <c r="P8" s="25">
        <f>O8*Hypothèses!$B$6</f>
      </c>
      <c r="Q8" s="25">
        <f>M8*Hypothèses!$B$24</f>
      </c>
      <c r="R8" s="25">
        <f>O8*Hypothèses!$B$25</f>
      </c>
      <c r="S8" s="25">
        <f>Hypothèses!$B$21</f>
      </c>
      <c r="T8" s="26">
        <f>P8-Q8-R8-S8</f>
      </c>
      <c r="U8" s="27">
        <f>U7+T8</f>
      </c>
      <c r="W8" s="23">
        <f>Hypothèses!B12</f>
      </c>
      <c r="X8" s="23">
        <f>ROUND(Y7*Hypothèses!$B$7,0)</f>
      </c>
      <c r="Y8" s="24">
        <f>Y7+W8-X8</f>
      </c>
      <c r="Z8" s="25">
        <f>Y8*Hypothèses!$B$6</f>
      </c>
      <c r="AA8" s="25">
        <f>W8*Hypothèses!$B$24</f>
      </c>
      <c r="AB8" s="25">
        <f>Y8*Hypothèses!$B$25</f>
      </c>
      <c r="AC8" s="25">
        <f>Hypothèses!$B$21</f>
      </c>
      <c r="AD8" s="26">
        <f>Z8-AA8-AB8-AC8</f>
      </c>
      <c r="AE8" s="27">
        <f>AE7+AD8</f>
      </c>
    </row>
    <row r="9" ht="18" customHeight="1" spans="1:31" x14ac:dyDescent="0.25">
      <c r="A9" s="21">
        <v>6</v>
      </c>
      <c r="B9" s="22">
        <v>46174.16666666667</v>
      </c>
      <c r="C9" s="28">
        <f>Hypothèses!B10</f>
      </c>
      <c r="D9" s="28">
        <f>ROUND(E8*Hypothèses!$B$7,0)</f>
      </c>
      <c r="E9" s="29">
        <f>E8+C9-D9</f>
      </c>
      <c r="F9" s="30">
        <f>E9*Hypothèses!$B$6</f>
      </c>
      <c r="G9" s="30">
        <f>C9*Hypothèses!$B$24</f>
      </c>
      <c r="H9" s="30">
        <f>E9*Hypothèses!$B$25</f>
      </c>
      <c r="I9" s="30">
        <f>Hypothèses!$B$21</f>
      </c>
      <c r="J9" s="31">
        <f>F9-G9-H9-I9</f>
      </c>
      <c r="K9" s="32">
        <f>K8+J9</f>
      </c>
      <c r="M9" s="28">
        <f>Hypothèses!B11</f>
      </c>
      <c r="N9" s="28">
        <f>ROUND(O8*Hypothèses!$B$7,0)</f>
      </c>
      <c r="O9" s="29">
        <f>O8+M9-N9</f>
      </c>
      <c r="P9" s="30">
        <f>O9*Hypothèses!$B$6</f>
      </c>
      <c r="Q9" s="30">
        <f>M9*Hypothèses!$B$24</f>
      </c>
      <c r="R9" s="30">
        <f>O9*Hypothèses!$B$25</f>
      </c>
      <c r="S9" s="30">
        <f>Hypothèses!$B$21</f>
      </c>
      <c r="T9" s="31">
        <f>P9-Q9-R9-S9</f>
      </c>
      <c r="U9" s="32">
        <f>U8+T9</f>
      </c>
      <c r="W9" s="28">
        <f>Hypothèses!B12</f>
      </c>
      <c r="X9" s="28">
        <f>ROUND(Y8*Hypothèses!$B$7,0)</f>
      </c>
      <c r="Y9" s="29">
        <f>Y8+W9-X9</f>
      </c>
      <c r="Z9" s="30">
        <f>Y9*Hypothèses!$B$6</f>
      </c>
      <c r="AA9" s="30">
        <f>W9*Hypothèses!$B$24</f>
      </c>
      <c r="AB9" s="30">
        <f>Y9*Hypothèses!$B$25</f>
      </c>
      <c r="AC9" s="30">
        <f>Hypothèses!$B$21</f>
      </c>
      <c r="AD9" s="31">
        <f>Z9-AA9-AB9-AC9</f>
      </c>
      <c r="AE9" s="32">
        <f>AE8+AD9</f>
      </c>
    </row>
    <row r="10" ht="18" customHeight="1" spans="1:31" x14ac:dyDescent="0.25">
      <c r="A10" s="21">
        <v>7</v>
      </c>
      <c r="B10" s="22">
        <v>46204.16666666667</v>
      </c>
      <c r="C10" s="23">
        <f>Hypothèses!B10</f>
      </c>
      <c r="D10" s="23">
        <f>ROUND(E9*Hypothèses!$B$7,0)</f>
      </c>
      <c r="E10" s="24">
        <f>E9+C10-D10</f>
      </c>
      <c r="F10" s="25">
        <f>E10*Hypothèses!$B$6</f>
      </c>
      <c r="G10" s="25">
        <f>C10*Hypothèses!$B$24</f>
      </c>
      <c r="H10" s="25">
        <f>E10*Hypothèses!$B$25</f>
      </c>
      <c r="I10" s="25">
        <f>Hypothèses!$B$21</f>
      </c>
      <c r="J10" s="26">
        <f>F10-G10-H10-I10</f>
      </c>
      <c r="K10" s="27">
        <f>K9+J10</f>
      </c>
      <c r="M10" s="23">
        <f>Hypothèses!B11</f>
      </c>
      <c r="N10" s="23">
        <f>ROUND(O9*Hypothèses!$B$7,0)</f>
      </c>
      <c r="O10" s="24">
        <f>O9+M10-N10</f>
      </c>
      <c r="P10" s="25">
        <f>O10*Hypothèses!$B$6</f>
      </c>
      <c r="Q10" s="25">
        <f>M10*Hypothèses!$B$24</f>
      </c>
      <c r="R10" s="25">
        <f>O10*Hypothèses!$B$25</f>
      </c>
      <c r="S10" s="25">
        <f>Hypothèses!$B$21</f>
      </c>
      <c r="T10" s="26">
        <f>P10-Q10-R10-S10</f>
      </c>
      <c r="U10" s="27">
        <f>U9+T10</f>
      </c>
      <c r="W10" s="23">
        <f>Hypothèses!B12</f>
      </c>
      <c r="X10" s="23">
        <f>ROUND(Y9*Hypothèses!$B$7,0)</f>
      </c>
      <c r="Y10" s="24">
        <f>Y9+W10-X10</f>
      </c>
      <c r="Z10" s="25">
        <f>Y10*Hypothèses!$B$6</f>
      </c>
      <c r="AA10" s="25">
        <f>W10*Hypothèses!$B$24</f>
      </c>
      <c r="AB10" s="25">
        <f>Y10*Hypothèses!$B$25</f>
      </c>
      <c r="AC10" s="25">
        <f>Hypothèses!$B$21</f>
      </c>
      <c r="AD10" s="26">
        <f>Z10-AA10-AB10-AC10</f>
      </c>
      <c r="AE10" s="27">
        <f>AE9+AD10</f>
      </c>
    </row>
    <row r="11" ht="18" customHeight="1" spans="1:31" x14ac:dyDescent="0.25">
      <c r="A11" s="21">
        <v>8</v>
      </c>
      <c r="B11" s="22">
        <v>46235.16666666667</v>
      </c>
      <c r="C11" s="28">
        <f>Hypothèses!B10</f>
      </c>
      <c r="D11" s="28">
        <f>ROUND(E10*Hypothèses!$B$7,0)</f>
      </c>
      <c r="E11" s="29">
        <f>E10+C11-D11</f>
      </c>
      <c r="F11" s="30">
        <f>E11*Hypothèses!$B$6</f>
      </c>
      <c r="G11" s="30">
        <f>C11*Hypothèses!$B$24</f>
      </c>
      <c r="H11" s="30">
        <f>E11*Hypothèses!$B$25</f>
      </c>
      <c r="I11" s="30">
        <f>Hypothèses!$B$21</f>
      </c>
      <c r="J11" s="31">
        <f>F11-G11-H11-I11</f>
      </c>
      <c r="K11" s="32">
        <f>K10+J11</f>
      </c>
      <c r="M11" s="28">
        <f>Hypothèses!B11</f>
      </c>
      <c r="N11" s="28">
        <f>ROUND(O10*Hypothèses!$B$7,0)</f>
      </c>
      <c r="O11" s="29">
        <f>O10+M11-N11</f>
      </c>
      <c r="P11" s="30">
        <f>O11*Hypothèses!$B$6</f>
      </c>
      <c r="Q11" s="30">
        <f>M11*Hypothèses!$B$24</f>
      </c>
      <c r="R11" s="30">
        <f>O11*Hypothèses!$B$25</f>
      </c>
      <c r="S11" s="30">
        <f>Hypothèses!$B$21</f>
      </c>
      <c r="T11" s="31">
        <f>P11-Q11-R11-S11</f>
      </c>
      <c r="U11" s="32">
        <f>U10+T11</f>
      </c>
      <c r="W11" s="28">
        <f>Hypothèses!B12</f>
      </c>
      <c r="X11" s="28">
        <f>ROUND(Y10*Hypothèses!$B$7,0)</f>
      </c>
      <c r="Y11" s="29">
        <f>Y10+W11-X11</f>
      </c>
      <c r="Z11" s="30">
        <f>Y11*Hypothèses!$B$6</f>
      </c>
      <c r="AA11" s="30">
        <f>W11*Hypothèses!$B$24</f>
      </c>
      <c r="AB11" s="30">
        <f>Y11*Hypothèses!$B$25</f>
      </c>
      <c r="AC11" s="30">
        <f>Hypothèses!$B$21</f>
      </c>
      <c r="AD11" s="31">
        <f>Z11-AA11-AB11-AC11</f>
      </c>
      <c r="AE11" s="32">
        <f>AE10+AD11</f>
      </c>
    </row>
    <row r="12" ht="18" customHeight="1" spans="1:31" x14ac:dyDescent="0.25">
      <c r="A12" s="21">
        <v>9</v>
      </c>
      <c r="B12" s="22">
        <v>46266.16666666667</v>
      </c>
      <c r="C12" s="23">
        <f>Hypothèses!B10</f>
      </c>
      <c r="D12" s="23">
        <f>ROUND(E11*Hypothèses!$B$7,0)</f>
      </c>
      <c r="E12" s="24">
        <f>E11+C12-D12</f>
      </c>
      <c r="F12" s="25">
        <f>E12*Hypothèses!$B$6</f>
      </c>
      <c r="G12" s="25">
        <f>C12*Hypothèses!$B$24</f>
      </c>
      <c r="H12" s="25">
        <f>E12*Hypothèses!$B$25</f>
      </c>
      <c r="I12" s="25">
        <f>Hypothèses!$B$21</f>
      </c>
      <c r="J12" s="26">
        <f>F12-G12-H12-I12</f>
      </c>
      <c r="K12" s="27">
        <f>K11+J12</f>
      </c>
      <c r="M12" s="23">
        <f>Hypothèses!B11</f>
      </c>
      <c r="N12" s="23">
        <f>ROUND(O11*Hypothèses!$B$7,0)</f>
      </c>
      <c r="O12" s="24">
        <f>O11+M12-N12</f>
      </c>
      <c r="P12" s="25">
        <f>O12*Hypothèses!$B$6</f>
      </c>
      <c r="Q12" s="25">
        <f>M12*Hypothèses!$B$24</f>
      </c>
      <c r="R12" s="25">
        <f>O12*Hypothèses!$B$25</f>
      </c>
      <c r="S12" s="25">
        <f>Hypothèses!$B$21</f>
      </c>
      <c r="T12" s="26">
        <f>P12-Q12-R12-S12</f>
      </c>
      <c r="U12" s="27">
        <f>U11+T12</f>
      </c>
      <c r="W12" s="23">
        <f>Hypothèses!B12</f>
      </c>
      <c r="X12" s="23">
        <f>ROUND(Y11*Hypothèses!$B$7,0)</f>
      </c>
      <c r="Y12" s="24">
        <f>Y11+W12-X12</f>
      </c>
      <c r="Z12" s="25">
        <f>Y12*Hypothèses!$B$6</f>
      </c>
      <c r="AA12" s="25">
        <f>W12*Hypothèses!$B$24</f>
      </c>
      <c r="AB12" s="25">
        <f>Y12*Hypothèses!$B$25</f>
      </c>
      <c r="AC12" s="25">
        <f>Hypothèses!$B$21</f>
      </c>
      <c r="AD12" s="26">
        <f>Z12-AA12-AB12-AC12</f>
      </c>
      <c r="AE12" s="27">
        <f>AE11+AD12</f>
      </c>
    </row>
    <row r="13" ht="18" customHeight="1" spans="1:31" x14ac:dyDescent="0.25">
      <c r="A13" s="21">
        <v>10</v>
      </c>
      <c r="B13" s="22">
        <v>46296.16666666667</v>
      </c>
      <c r="C13" s="28">
        <f>Hypothèses!B10</f>
      </c>
      <c r="D13" s="28">
        <f>ROUND(E12*Hypothèses!$B$7,0)</f>
      </c>
      <c r="E13" s="29">
        <f>E12+C13-D13</f>
      </c>
      <c r="F13" s="30">
        <f>E13*Hypothèses!$B$6</f>
      </c>
      <c r="G13" s="30">
        <f>C13*Hypothèses!$B$24</f>
      </c>
      <c r="H13" s="30">
        <f>E13*Hypothèses!$B$25</f>
      </c>
      <c r="I13" s="30">
        <f>Hypothèses!$B$21</f>
      </c>
      <c r="J13" s="31">
        <f>F13-G13-H13-I13</f>
      </c>
      <c r="K13" s="32">
        <f>K12+J13</f>
      </c>
      <c r="M13" s="28">
        <f>Hypothèses!B11</f>
      </c>
      <c r="N13" s="28">
        <f>ROUND(O12*Hypothèses!$B$7,0)</f>
      </c>
      <c r="O13" s="29">
        <f>O12+M13-N13</f>
      </c>
      <c r="P13" s="30">
        <f>O13*Hypothèses!$B$6</f>
      </c>
      <c r="Q13" s="30">
        <f>M13*Hypothèses!$B$24</f>
      </c>
      <c r="R13" s="30">
        <f>O13*Hypothèses!$B$25</f>
      </c>
      <c r="S13" s="30">
        <f>Hypothèses!$B$21</f>
      </c>
      <c r="T13" s="31">
        <f>P13-Q13-R13-S13</f>
      </c>
      <c r="U13" s="32">
        <f>U12+T13</f>
      </c>
      <c r="W13" s="28">
        <f>Hypothèses!B12</f>
      </c>
      <c r="X13" s="28">
        <f>ROUND(Y12*Hypothèses!$B$7,0)</f>
      </c>
      <c r="Y13" s="29">
        <f>Y12+W13-X13</f>
      </c>
      <c r="Z13" s="30">
        <f>Y13*Hypothèses!$B$6</f>
      </c>
      <c r="AA13" s="30">
        <f>W13*Hypothèses!$B$24</f>
      </c>
      <c r="AB13" s="30">
        <f>Y13*Hypothèses!$B$25</f>
      </c>
      <c r="AC13" s="30">
        <f>Hypothèses!$B$21</f>
      </c>
      <c r="AD13" s="31">
        <f>Z13-AA13-AB13-AC13</f>
      </c>
      <c r="AE13" s="32">
        <f>AE12+AD13</f>
      </c>
    </row>
    <row r="14" ht="18" customHeight="1" spans="1:31" x14ac:dyDescent="0.25">
      <c r="A14" s="21">
        <v>11</v>
      </c>
      <c r="B14" s="22">
        <v>46327.16666666667</v>
      </c>
      <c r="C14" s="23">
        <f>Hypothèses!B10</f>
      </c>
      <c r="D14" s="23">
        <f>ROUND(E13*Hypothèses!$B$7,0)</f>
      </c>
      <c r="E14" s="24">
        <f>E13+C14-D14</f>
      </c>
      <c r="F14" s="25">
        <f>E14*Hypothèses!$B$6</f>
      </c>
      <c r="G14" s="25">
        <f>C14*Hypothèses!$B$24</f>
      </c>
      <c r="H14" s="25">
        <f>E14*Hypothèses!$B$25</f>
      </c>
      <c r="I14" s="25">
        <f>Hypothèses!$B$21</f>
      </c>
      <c r="J14" s="26">
        <f>F14-G14-H14-I14</f>
      </c>
      <c r="K14" s="27">
        <f>K13+J14</f>
      </c>
      <c r="M14" s="23">
        <f>Hypothèses!B11</f>
      </c>
      <c r="N14" s="23">
        <f>ROUND(O13*Hypothèses!$B$7,0)</f>
      </c>
      <c r="O14" s="24">
        <f>O13+M14-N14</f>
      </c>
      <c r="P14" s="25">
        <f>O14*Hypothèses!$B$6</f>
      </c>
      <c r="Q14" s="25">
        <f>M14*Hypothèses!$B$24</f>
      </c>
      <c r="R14" s="25">
        <f>O14*Hypothèses!$B$25</f>
      </c>
      <c r="S14" s="25">
        <f>Hypothèses!$B$21</f>
      </c>
      <c r="T14" s="26">
        <f>P14-Q14-R14-S14</f>
      </c>
      <c r="U14" s="27">
        <f>U13+T14</f>
      </c>
      <c r="W14" s="23">
        <f>Hypothèses!B12</f>
      </c>
      <c r="X14" s="23">
        <f>ROUND(Y13*Hypothèses!$B$7,0)</f>
      </c>
      <c r="Y14" s="24">
        <f>Y13+W14-X14</f>
      </c>
      <c r="Z14" s="25">
        <f>Y14*Hypothèses!$B$6</f>
      </c>
      <c r="AA14" s="25">
        <f>W14*Hypothèses!$B$24</f>
      </c>
      <c r="AB14" s="25">
        <f>Y14*Hypothèses!$B$25</f>
      </c>
      <c r="AC14" s="25">
        <f>Hypothèses!$B$21</f>
      </c>
      <c r="AD14" s="26">
        <f>Z14-AA14-AB14-AC14</f>
      </c>
      <c r="AE14" s="27">
        <f>AE13+AD14</f>
      </c>
    </row>
    <row r="15" ht="18" customHeight="1" spans="1:31" x14ac:dyDescent="0.25">
      <c r="A15" s="21">
        <v>12</v>
      </c>
      <c r="B15" s="22">
        <v>46357.20833333333</v>
      </c>
      <c r="C15" s="33">
        <f>Hypothèses!B10</f>
      </c>
      <c r="D15" s="33">
        <f>ROUND(E14*Hypothèses!$B$7,0)</f>
      </c>
      <c r="E15" s="34">
        <f>E14+C15-D15</f>
      </c>
      <c r="F15" s="35">
        <f>E15*Hypothèses!$B$6</f>
      </c>
      <c r="G15" s="35">
        <f>C15*Hypothèses!$B$24</f>
      </c>
      <c r="H15" s="35">
        <f>E15*Hypothèses!$B$25</f>
      </c>
      <c r="I15" s="35">
        <f>Hypothèses!$B$21</f>
      </c>
      <c r="J15" s="36">
        <f>F15-G15-H15-I15</f>
      </c>
      <c r="K15" s="37">
        <f>K14+J15</f>
      </c>
      <c r="M15" s="33">
        <f>Hypothèses!B11</f>
      </c>
      <c r="N15" s="33">
        <f>ROUND(O14*Hypothèses!$B$7,0)</f>
      </c>
      <c r="O15" s="34">
        <f>O14+M15-N15</f>
      </c>
      <c r="P15" s="35">
        <f>O15*Hypothèses!$B$6</f>
      </c>
      <c r="Q15" s="35">
        <f>M15*Hypothèses!$B$24</f>
      </c>
      <c r="R15" s="35">
        <f>O15*Hypothèses!$B$25</f>
      </c>
      <c r="S15" s="35">
        <f>Hypothèses!$B$21</f>
      </c>
      <c r="T15" s="36">
        <f>P15-Q15-R15-S15</f>
      </c>
      <c r="U15" s="37">
        <f>U14+T15</f>
      </c>
      <c r="W15" s="33">
        <f>Hypothèses!B12</f>
      </c>
      <c r="X15" s="33">
        <f>ROUND(Y14*Hypothèses!$B$7,0)</f>
      </c>
      <c r="Y15" s="34">
        <f>Y14+W15-X15</f>
      </c>
      <c r="Z15" s="35">
        <f>Y15*Hypothèses!$B$6</f>
      </c>
      <c r="AA15" s="35">
        <f>W15*Hypothèses!$B$24</f>
      </c>
      <c r="AB15" s="35">
        <f>Y15*Hypothèses!$B$25</f>
      </c>
      <c r="AC15" s="35">
        <f>Hypothèses!$B$21</f>
      </c>
      <c r="AD15" s="36">
        <f>Z15-AA15-AB15-AC15</f>
      </c>
      <c r="AE15" s="37">
        <f>AE14+AD15</f>
      </c>
    </row>
    <row r="16" ht="18" customHeight="1" spans="1:31" x14ac:dyDescent="0.25">
      <c r="A16" s="21">
        <v>13</v>
      </c>
      <c r="B16" s="22">
        <v>46388.20833333333</v>
      </c>
      <c r="C16" s="23">
        <f>Hypothèses!B10</f>
      </c>
      <c r="D16" s="23">
        <f>ROUND(E15*Hypothèses!$B$7,0)</f>
      </c>
      <c r="E16" s="24">
        <f>E15+C16-D16</f>
      </c>
      <c r="F16" s="25">
        <f>E16*Hypothèses!$B$6</f>
      </c>
      <c r="G16" s="25">
        <f>C16*Hypothèses!$B$24</f>
      </c>
      <c r="H16" s="25">
        <f>E16*Hypothèses!$B$25</f>
      </c>
      <c r="I16" s="25">
        <f>Hypothèses!$B$21</f>
      </c>
      <c r="J16" s="26">
        <f>F16-G16-H16-I16</f>
      </c>
      <c r="K16" s="27">
        <f>K15+J16</f>
      </c>
      <c r="M16" s="23">
        <f>Hypothèses!B11</f>
      </c>
      <c r="N16" s="23">
        <f>ROUND(O15*Hypothèses!$B$7,0)</f>
      </c>
      <c r="O16" s="24">
        <f>O15+M16-N16</f>
      </c>
      <c r="P16" s="25">
        <f>O16*Hypothèses!$B$6</f>
      </c>
      <c r="Q16" s="25">
        <f>M16*Hypothèses!$B$24</f>
      </c>
      <c r="R16" s="25">
        <f>O16*Hypothèses!$B$25</f>
      </c>
      <c r="S16" s="25">
        <f>Hypothèses!$B$21</f>
      </c>
      <c r="T16" s="26">
        <f>P16-Q16-R16-S16</f>
      </c>
      <c r="U16" s="27">
        <f>U15+T16</f>
      </c>
      <c r="W16" s="23">
        <f>Hypothèses!B12</f>
      </c>
      <c r="X16" s="23">
        <f>ROUND(Y15*Hypothèses!$B$7,0)</f>
      </c>
      <c r="Y16" s="24">
        <f>Y15+W16-X16</f>
      </c>
      <c r="Z16" s="25">
        <f>Y16*Hypothèses!$B$6</f>
      </c>
      <c r="AA16" s="25">
        <f>W16*Hypothèses!$B$24</f>
      </c>
      <c r="AB16" s="25">
        <f>Y16*Hypothèses!$B$25</f>
      </c>
      <c r="AC16" s="25">
        <f>Hypothèses!$B$21</f>
      </c>
      <c r="AD16" s="26">
        <f>Z16-AA16-AB16-AC16</f>
      </c>
      <c r="AE16" s="27">
        <f>AE15+AD16</f>
      </c>
    </row>
    <row r="17" ht="18" customHeight="1" spans="1:31" x14ac:dyDescent="0.25">
      <c r="A17" s="21">
        <v>14</v>
      </c>
      <c r="B17" s="22">
        <v>46419.20833333333</v>
      </c>
      <c r="C17" s="28">
        <f>Hypothèses!B10</f>
      </c>
      <c r="D17" s="28">
        <f>ROUND(E16*Hypothèses!$B$7,0)</f>
      </c>
      <c r="E17" s="29">
        <f>E16+C17-D17</f>
      </c>
      <c r="F17" s="30">
        <f>E17*Hypothèses!$B$6</f>
      </c>
      <c r="G17" s="30">
        <f>C17*Hypothèses!$B$24</f>
      </c>
      <c r="H17" s="30">
        <f>E17*Hypothèses!$B$25</f>
      </c>
      <c r="I17" s="30">
        <f>Hypothèses!$B$21</f>
      </c>
      <c r="J17" s="31">
        <f>F17-G17-H17-I17</f>
      </c>
      <c r="K17" s="32">
        <f>K16+J17</f>
      </c>
      <c r="M17" s="28">
        <f>Hypothèses!B11</f>
      </c>
      <c r="N17" s="28">
        <f>ROUND(O16*Hypothèses!$B$7,0)</f>
      </c>
      <c r="O17" s="29">
        <f>O16+M17-N17</f>
      </c>
      <c r="P17" s="30">
        <f>O17*Hypothèses!$B$6</f>
      </c>
      <c r="Q17" s="30">
        <f>M17*Hypothèses!$B$24</f>
      </c>
      <c r="R17" s="30">
        <f>O17*Hypothèses!$B$25</f>
      </c>
      <c r="S17" s="30">
        <f>Hypothèses!$B$21</f>
      </c>
      <c r="T17" s="31">
        <f>P17-Q17-R17-S17</f>
      </c>
      <c r="U17" s="32">
        <f>U16+T17</f>
      </c>
      <c r="W17" s="28">
        <f>Hypothèses!B12</f>
      </c>
      <c r="X17" s="28">
        <f>ROUND(Y16*Hypothèses!$B$7,0)</f>
      </c>
      <c r="Y17" s="29">
        <f>Y16+W17-X17</f>
      </c>
      <c r="Z17" s="30">
        <f>Y17*Hypothèses!$B$6</f>
      </c>
      <c r="AA17" s="30">
        <f>W17*Hypothèses!$B$24</f>
      </c>
      <c r="AB17" s="30">
        <f>Y17*Hypothèses!$B$25</f>
      </c>
      <c r="AC17" s="30">
        <f>Hypothèses!$B$21</f>
      </c>
      <c r="AD17" s="31">
        <f>Z17-AA17-AB17-AC17</f>
      </c>
      <c r="AE17" s="32">
        <f>AE16+AD17</f>
      </c>
    </row>
    <row r="18" ht="18" customHeight="1" spans="1:31" x14ac:dyDescent="0.25">
      <c r="A18" s="21">
        <v>15</v>
      </c>
      <c r="B18" s="22">
        <v>46447.20833333333</v>
      </c>
      <c r="C18" s="23">
        <f>Hypothèses!B10</f>
      </c>
      <c r="D18" s="23">
        <f>ROUND(E17*Hypothèses!$B$7,0)</f>
      </c>
      <c r="E18" s="24">
        <f>E17+C18-D18</f>
      </c>
      <c r="F18" s="25">
        <f>E18*Hypothèses!$B$6</f>
      </c>
      <c r="G18" s="25">
        <f>C18*Hypothèses!$B$24</f>
      </c>
      <c r="H18" s="25">
        <f>E18*Hypothèses!$B$25</f>
      </c>
      <c r="I18" s="25">
        <f>Hypothèses!$B$21</f>
      </c>
      <c r="J18" s="26">
        <f>F18-G18-H18-I18</f>
      </c>
      <c r="K18" s="27">
        <f>K17+J18</f>
      </c>
      <c r="M18" s="23">
        <f>Hypothèses!B11</f>
      </c>
      <c r="N18" s="23">
        <f>ROUND(O17*Hypothèses!$B$7,0)</f>
      </c>
      <c r="O18" s="24">
        <f>O17+M18-N18</f>
      </c>
      <c r="P18" s="25">
        <f>O18*Hypothèses!$B$6</f>
      </c>
      <c r="Q18" s="25">
        <f>M18*Hypothèses!$B$24</f>
      </c>
      <c r="R18" s="25">
        <f>O18*Hypothèses!$B$25</f>
      </c>
      <c r="S18" s="25">
        <f>Hypothèses!$B$21</f>
      </c>
      <c r="T18" s="26">
        <f>P18-Q18-R18-S18</f>
      </c>
      <c r="U18" s="27">
        <f>U17+T18</f>
      </c>
      <c r="W18" s="23">
        <f>Hypothèses!B12</f>
      </c>
      <c r="X18" s="23">
        <f>ROUND(Y17*Hypothèses!$B$7,0)</f>
      </c>
      <c r="Y18" s="24">
        <f>Y17+W18-X18</f>
      </c>
      <c r="Z18" s="25">
        <f>Y18*Hypothèses!$B$6</f>
      </c>
      <c r="AA18" s="25">
        <f>W18*Hypothèses!$B$24</f>
      </c>
      <c r="AB18" s="25">
        <f>Y18*Hypothèses!$B$25</f>
      </c>
      <c r="AC18" s="25">
        <f>Hypothèses!$B$21</f>
      </c>
      <c r="AD18" s="26">
        <f>Z18-AA18-AB18-AC18</f>
      </c>
      <c r="AE18" s="27">
        <f>AE17+AD18</f>
      </c>
    </row>
    <row r="19" ht="18" customHeight="1" spans="1:31" x14ac:dyDescent="0.25">
      <c r="A19" s="21">
        <v>16</v>
      </c>
      <c r="B19" s="22">
        <v>46478.16666666667</v>
      </c>
      <c r="C19" s="28">
        <f>Hypothèses!B10</f>
      </c>
      <c r="D19" s="28">
        <f>ROUND(E18*Hypothèses!$B$7,0)</f>
      </c>
      <c r="E19" s="29">
        <f>E18+C19-D19</f>
      </c>
      <c r="F19" s="30">
        <f>E19*Hypothèses!$B$6</f>
      </c>
      <c r="G19" s="30">
        <f>C19*Hypothèses!$B$24</f>
      </c>
      <c r="H19" s="30">
        <f>E19*Hypothèses!$B$25</f>
      </c>
      <c r="I19" s="30">
        <f>Hypothèses!$B$21</f>
      </c>
      <c r="J19" s="31">
        <f>F19-G19-H19-I19</f>
      </c>
      <c r="K19" s="32">
        <f>K18+J19</f>
      </c>
      <c r="M19" s="28">
        <f>Hypothèses!B11</f>
      </c>
      <c r="N19" s="28">
        <f>ROUND(O18*Hypothèses!$B$7,0)</f>
      </c>
      <c r="O19" s="29">
        <f>O18+M19-N19</f>
      </c>
      <c r="P19" s="30">
        <f>O19*Hypothèses!$B$6</f>
      </c>
      <c r="Q19" s="30">
        <f>M19*Hypothèses!$B$24</f>
      </c>
      <c r="R19" s="30">
        <f>O19*Hypothèses!$B$25</f>
      </c>
      <c r="S19" s="30">
        <f>Hypothèses!$B$21</f>
      </c>
      <c r="T19" s="31">
        <f>P19-Q19-R19-S19</f>
      </c>
      <c r="U19" s="32">
        <f>U18+T19</f>
      </c>
      <c r="W19" s="28">
        <f>Hypothèses!B12</f>
      </c>
      <c r="X19" s="28">
        <f>ROUND(Y18*Hypothèses!$B$7,0)</f>
      </c>
      <c r="Y19" s="29">
        <f>Y18+W19-X19</f>
      </c>
      <c r="Z19" s="30">
        <f>Y19*Hypothèses!$B$6</f>
      </c>
      <c r="AA19" s="30">
        <f>W19*Hypothèses!$B$24</f>
      </c>
      <c r="AB19" s="30">
        <f>Y19*Hypothèses!$B$25</f>
      </c>
      <c r="AC19" s="30">
        <f>Hypothèses!$B$21</f>
      </c>
      <c r="AD19" s="31">
        <f>Z19-AA19-AB19-AC19</f>
      </c>
      <c r="AE19" s="32">
        <f>AE18+AD19</f>
      </c>
    </row>
    <row r="20" ht="18" customHeight="1" spans="1:31" x14ac:dyDescent="0.25">
      <c r="A20" s="21">
        <v>17</v>
      </c>
      <c r="B20" s="22">
        <v>46508.16666666667</v>
      </c>
      <c r="C20" s="23">
        <f>Hypothèses!B10</f>
      </c>
      <c r="D20" s="23">
        <f>ROUND(E19*Hypothèses!$B$7,0)</f>
      </c>
      <c r="E20" s="24">
        <f>E19+C20-D20</f>
      </c>
      <c r="F20" s="25">
        <f>E20*Hypothèses!$B$6</f>
      </c>
      <c r="G20" s="25">
        <f>C20*Hypothèses!$B$24</f>
      </c>
      <c r="H20" s="25">
        <f>E20*Hypothèses!$B$25</f>
      </c>
      <c r="I20" s="25">
        <f>Hypothèses!$B$21</f>
      </c>
      <c r="J20" s="26">
        <f>F20-G20-H20-I20</f>
      </c>
      <c r="K20" s="27">
        <f>K19+J20</f>
      </c>
      <c r="M20" s="23">
        <f>Hypothèses!B11</f>
      </c>
      <c r="N20" s="23">
        <f>ROUND(O19*Hypothèses!$B$7,0)</f>
      </c>
      <c r="O20" s="24">
        <f>O19+M20-N20</f>
      </c>
      <c r="P20" s="25">
        <f>O20*Hypothèses!$B$6</f>
      </c>
      <c r="Q20" s="25">
        <f>M20*Hypothèses!$B$24</f>
      </c>
      <c r="R20" s="25">
        <f>O20*Hypothèses!$B$25</f>
      </c>
      <c r="S20" s="25">
        <f>Hypothèses!$B$21</f>
      </c>
      <c r="T20" s="26">
        <f>P20-Q20-R20-S20</f>
      </c>
      <c r="U20" s="27">
        <f>U19+T20</f>
      </c>
      <c r="W20" s="23">
        <f>Hypothèses!B12</f>
      </c>
      <c r="X20" s="23">
        <f>ROUND(Y19*Hypothèses!$B$7,0)</f>
      </c>
      <c r="Y20" s="24">
        <f>Y19+W20-X20</f>
      </c>
      <c r="Z20" s="25">
        <f>Y20*Hypothèses!$B$6</f>
      </c>
      <c r="AA20" s="25">
        <f>W20*Hypothèses!$B$24</f>
      </c>
      <c r="AB20" s="25">
        <f>Y20*Hypothèses!$B$25</f>
      </c>
      <c r="AC20" s="25">
        <f>Hypothèses!$B$21</f>
      </c>
      <c r="AD20" s="26">
        <f>Z20-AA20-AB20-AC20</f>
      </c>
      <c r="AE20" s="27">
        <f>AE19+AD20</f>
      </c>
    </row>
    <row r="21" ht="18" customHeight="1" spans="1:31" x14ac:dyDescent="0.25">
      <c r="A21" s="21">
        <v>18</v>
      </c>
      <c r="B21" s="22">
        <v>46539.16666666667</v>
      </c>
      <c r="C21" s="28">
        <f>Hypothèses!B10</f>
      </c>
      <c r="D21" s="28">
        <f>ROUND(E20*Hypothèses!$B$7,0)</f>
      </c>
      <c r="E21" s="29">
        <f>E20+C21-D21</f>
      </c>
      <c r="F21" s="30">
        <f>E21*Hypothèses!$B$6</f>
      </c>
      <c r="G21" s="30">
        <f>C21*Hypothèses!$B$24</f>
      </c>
      <c r="H21" s="30">
        <f>E21*Hypothèses!$B$25</f>
      </c>
      <c r="I21" s="30">
        <f>Hypothèses!$B$21</f>
      </c>
      <c r="J21" s="31">
        <f>F21-G21-H21-I21</f>
      </c>
      <c r="K21" s="32">
        <f>K20+J21</f>
      </c>
      <c r="M21" s="28">
        <f>Hypothèses!B11</f>
      </c>
      <c r="N21" s="28">
        <f>ROUND(O20*Hypothèses!$B$7,0)</f>
      </c>
      <c r="O21" s="29">
        <f>O20+M21-N21</f>
      </c>
      <c r="P21" s="30">
        <f>O21*Hypothèses!$B$6</f>
      </c>
      <c r="Q21" s="30">
        <f>M21*Hypothèses!$B$24</f>
      </c>
      <c r="R21" s="30">
        <f>O21*Hypothèses!$B$25</f>
      </c>
      <c r="S21" s="30">
        <f>Hypothèses!$B$21</f>
      </c>
      <c r="T21" s="31">
        <f>P21-Q21-R21-S21</f>
      </c>
      <c r="U21" s="32">
        <f>U20+T21</f>
      </c>
      <c r="W21" s="28">
        <f>Hypothèses!B12</f>
      </c>
      <c r="X21" s="28">
        <f>ROUND(Y20*Hypothèses!$B$7,0)</f>
      </c>
      <c r="Y21" s="29">
        <f>Y20+W21-X21</f>
      </c>
      <c r="Z21" s="30">
        <f>Y21*Hypothèses!$B$6</f>
      </c>
      <c r="AA21" s="30">
        <f>W21*Hypothèses!$B$24</f>
      </c>
      <c r="AB21" s="30">
        <f>Y21*Hypothèses!$B$25</f>
      </c>
      <c r="AC21" s="30">
        <f>Hypothèses!$B$21</f>
      </c>
      <c r="AD21" s="31">
        <f>Z21-AA21-AB21-AC21</f>
      </c>
      <c r="AE21" s="32">
        <f>AE20+AD21</f>
      </c>
    </row>
    <row r="22" ht="18" customHeight="1" spans="1:31" x14ac:dyDescent="0.25">
      <c r="A22" s="21">
        <v>19</v>
      </c>
      <c r="B22" s="22">
        <v>46569.16666666667</v>
      </c>
      <c r="C22" s="23">
        <f>Hypothèses!B10</f>
      </c>
      <c r="D22" s="23">
        <f>ROUND(E21*Hypothèses!$B$7,0)</f>
      </c>
      <c r="E22" s="24">
        <f>E21+C22-D22</f>
      </c>
      <c r="F22" s="25">
        <f>E22*Hypothèses!$B$6</f>
      </c>
      <c r="G22" s="25">
        <f>C22*Hypothèses!$B$24</f>
      </c>
      <c r="H22" s="25">
        <f>E22*Hypothèses!$B$25</f>
      </c>
      <c r="I22" s="25">
        <f>Hypothèses!$B$21</f>
      </c>
      <c r="J22" s="26">
        <f>F22-G22-H22-I22</f>
      </c>
      <c r="K22" s="27">
        <f>K21+J22</f>
      </c>
      <c r="M22" s="23">
        <f>Hypothèses!B11</f>
      </c>
      <c r="N22" s="23">
        <f>ROUND(O21*Hypothèses!$B$7,0)</f>
      </c>
      <c r="O22" s="24">
        <f>O21+M22-N22</f>
      </c>
      <c r="P22" s="25">
        <f>O22*Hypothèses!$B$6</f>
      </c>
      <c r="Q22" s="25">
        <f>M22*Hypothèses!$B$24</f>
      </c>
      <c r="R22" s="25">
        <f>O22*Hypothèses!$B$25</f>
      </c>
      <c r="S22" s="25">
        <f>Hypothèses!$B$21</f>
      </c>
      <c r="T22" s="26">
        <f>P22-Q22-R22-S22</f>
      </c>
      <c r="U22" s="27">
        <f>U21+T22</f>
      </c>
      <c r="W22" s="23">
        <f>Hypothèses!B12</f>
      </c>
      <c r="X22" s="23">
        <f>ROUND(Y21*Hypothèses!$B$7,0)</f>
      </c>
      <c r="Y22" s="24">
        <f>Y21+W22-X22</f>
      </c>
      <c r="Z22" s="25">
        <f>Y22*Hypothèses!$B$6</f>
      </c>
      <c r="AA22" s="25">
        <f>W22*Hypothèses!$B$24</f>
      </c>
      <c r="AB22" s="25">
        <f>Y22*Hypothèses!$B$25</f>
      </c>
      <c r="AC22" s="25">
        <f>Hypothèses!$B$21</f>
      </c>
      <c r="AD22" s="26">
        <f>Z22-AA22-AB22-AC22</f>
      </c>
      <c r="AE22" s="27">
        <f>AE21+AD22</f>
      </c>
    </row>
    <row r="23" ht="18" customHeight="1" spans="1:31" x14ac:dyDescent="0.25">
      <c r="A23" s="21">
        <v>20</v>
      </c>
      <c r="B23" s="22">
        <v>46600.16666666667</v>
      </c>
      <c r="C23" s="28">
        <f>Hypothèses!B10</f>
      </c>
      <c r="D23" s="28">
        <f>ROUND(E22*Hypothèses!$B$7,0)</f>
      </c>
      <c r="E23" s="29">
        <f>E22+C23-D23</f>
      </c>
      <c r="F23" s="30">
        <f>E23*Hypothèses!$B$6</f>
      </c>
      <c r="G23" s="30">
        <f>C23*Hypothèses!$B$24</f>
      </c>
      <c r="H23" s="30">
        <f>E23*Hypothèses!$B$25</f>
      </c>
      <c r="I23" s="30">
        <f>Hypothèses!$B$21</f>
      </c>
      <c r="J23" s="31">
        <f>F23-G23-H23-I23</f>
      </c>
      <c r="K23" s="32">
        <f>K22+J23</f>
      </c>
      <c r="M23" s="28">
        <f>Hypothèses!B11</f>
      </c>
      <c r="N23" s="28">
        <f>ROUND(O22*Hypothèses!$B$7,0)</f>
      </c>
      <c r="O23" s="29">
        <f>O22+M23-N23</f>
      </c>
      <c r="P23" s="30">
        <f>O23*Hypothèses!$B$6</f>
      </c>
      <c r="Q23" s="30">
        <f>M23*Hypothèses!$B$24</f>
      </c>
      <c r="R23" s="30">
        <f>O23*Hypothèses!$B$25</f>
      </c>
      <c r="S23" s="30">
        <f>Hypothèses!$B$21</f>
      </c>
      <c r="T23" s="31">
        <f>P23-Q23-R23-S23</f>
      </c>
      <c r="U23" s="32">
        <f>U22+T23</f>
      </c>
      <c r="W23" s="28">
        <f>Hypothèses!B12</f>
      </c>
      <c r="X23" s="28">
        <f>ROUND(Y22*Hypothèses!$B$7,0)</f>
      </c>
      <c r="Y23" s="29">
        <f>Y22+W23-X23</f>
      </c>
      <c r="Z23" s="30">
        <f>Y23*Hypothèses!$B$6</f>
      </c>
      <c r="AA23" s="30">
        <f>W23*Hypothèses!$B$24</f>
      </c>
      <c r="AB23" s="30">
        <f>Y23*Hypothèses!$B$25</f>
      </c>
      <c r="AC23" s="30">
        <f>Hypothèses!$B$21</f>
      </c>
      <c r="AD23" s="31">
        <f>Z23-AA23-AB23-AC23</f>
      </c>
      <c r="AE23" s="32">
        <f>AE22+AD23</f>
      </c>
    </row>
    <row r="24" ht="18" customHeight="1" spans="1:31" x14ac:dyDescent="0.25">
      <c r="A24" s="21">
        <v>21</v>
      </c>
      <c r="B24" s="22">
        <v>46631.16666666667</v>
      </c>
      <c r="C24" s="23">
        <f>Hypothèses!B10</f>
      </c>
      <c r="D24" s="23">
        <f>ROUND(E23*Hypothèses!$B$7,0)</f>
      </c>
      <c r="E24" s="24">
        <f>E23+C24-D24</f>
      </c>
      <c r="F24" s="25">
        <f>E24*Hypothèses!$B$6</f>
      </c>
      <c r="G24" s="25">
        <f>C24*Hypothèses!$B$24</f>
      </c>
      <c r="H24" s="25">
        <f>E24*Hypothèses!$B$25</f>
      </c>
      <c r="I24" s="25">
        <f>Hypothèses!$B$21</f>
      </c>
      <c r="J24" s="26">
        <f>F24-G24-H24-I24</f>
      </c>
      <c r="K24" s="27">
        <f>K23+J24</f>
      </c>
      <c r="M24" s="23">
        <f>Hypothèses!B11</f>
      </c>
      <c r="N24" s="23">
        <f>ROUND(O23*Hypothèses!$B$7,0)</f>
      </c>
      <c r="O24" s="24">
        <f>O23+M24-N24</f>
      </c>
      <c r="P24" s="25">
        <f>O24*Hypothèses!$B$6</f>
      </c>
      <c r="Q24" s="25">
        <f>M24*Hypothèses!$B$24</f>
      </c>
      <c r="R24" s="25">
        <f>O24*Hypothèses!$B$25</f>
      </c>
      <c r="S24" s="25">
        <f>Hypothèses!$B$21</f>
      </c>
      <c r="T24" s="26">
        <f>P24-Q24-R24-S24</f>
      </c>
      <c r="U24" s="27">
        <f>U23+T24</f>
      </c>
      <c r="W24" s="23">
        <f>Hypothèses!B12</f>
      </c>
      <c r="X24" s="23">
        <f>ROUND(Y23*Hypothèses!$B$7,0)</f>
      </c>
      <c r="Y24" s="24">
        <f>Y23+W24-X24</f>
      </c>
      <c r="Z24" s="25">
        <f>Y24*Hypothèses!$B$6</f>
      </c>
      <c r="AA24" s="25">
        <f>W24*Hypothèses!$B$24</f>
      </c>
      <c r="AB24" s="25">
        <f>Y24*Hypothèses!$B$25</f>
      </c>
      <c r="AC24" s="25">
        <f>Hypothèses!$B$21</f>
      </c>
      <c r="AD24" s="26">
        <f>Z24-AA24-AB24-AC24</f>
      </c>
      <c r="AE24" s="27">
        <f>AE23+AD24</f>
      </c>
    </row>
    <row r="25" ht="18" customHeight="1" spans="1:31" x14ac:dyDescent="0.25">
      <c r="A25" s="21">
        <v>22</v>
      </c>
      <c r="B25" s="22">
        <v>46661.16666666667</v>
      </c>
      <c r="C25" s="28">
        <f>Hypothèses!B10</f>
      </c>
      <c r="D25" s="28">
        <f>ROUND(E24*Hypothèses!$B$7,0)</f>
      </c>
      <c r="E25" s="29">
        <f>E24+C25-D25</f>
      </c>
      <c r="F25" s="30">
        <f>E25*Hypothèses!$B$6</f>
      </c>
      <c r="G25" s="30">
        <f>C25*Hypothèses!$B$24</f>
      </c>
      <c r="H25" s="30">
        <f>E25*Hypothèses!$B$25</f>
      </c>
      <c r="I25" s="30">
        <f>Hypothèses!$B$21</f>
      </c>
      <c r="J25" s="31">
        <f>F25-G25-H25-I25</f>
      </c>
      <c r="K25" s="32">
        <f>K24+J25</f>
      </c>
      <c r="M25" s="28">
        <f>Hypothèses!B11</f>
      </c>
      <c r="N25" s="28">
        <f>ROUND(O24*Hypothèses!$B$7,0)</f>
      </c>
      <c r="O25" s="29">
        <f>O24+M25-N25</f>
      </c>
      <c r="P25" s="30">
        <f>O25*Hypothèses!$B$6</f>
      </c>
      <c r="Q25" s="30">
        <f>M25*Hypothèses!$B$24</f>
      </c>
      <c r="R25" s="30">
        <f>O25*Hypothèses!$B$25</f>
      </c>
      <c r="S25" s="30">
        <f>Hypothèses!$B$21</f>
      </c>
      <c r="T25" s="31">
        <f>P25-Q25-R25-S25</f>
      </c>
      <c r="U25" s="32">
        <f>U24+T25</f>
      </c>
      <c r="W25" s="28">
        <f>Hypothèses!B12</f>
      </c>
      <c r="X25" s="28">
        <f>ROUND(Y24*Hypothèses!$B$7,0)</f>
      </c>
      <c r="Y25" s="29">
        <f>Y24+W25-X25</f>
      </c>
      <c r="Z25" s="30">
        <f>Y25*Hypothèses!$B$6</f>
      </c>
      <c r="AA25" s="30">
        <f>W25*Hypothèses!$B$24</f>
      </c>
      <c r="AB25" s="30">
        <f>Y25*Hypothèses!$B$25</f>
      </c>
      <c r="AC25" s="30">
        <f>Hypothèses!$B$21</f>
      </c>
      <c r="AD25" s="31">
        <f>Z25-AA25-AB25-AC25</f>
      </c>
      <c r="AE25" s="32">
        <f>AE24+AD25</f>
      </c>
    </row>
    <row r="26" ht="18" customHeight="1" spans="1:31" x14ac:dyDescent="0.25">
      <c r="A26" s="21">
        <v>23</v>
      </c>
      <c r="B26" s="22">
        <v>46692.16666666667</v>
      </c>
      <c r="C26" s="23">
        <f>Hypothèses!B10</f>
      </c>
      <c r="D26" s="23">
        <f>ROUND(E25*Hypothèses!$B$7,0)</f>
      </c>
      <c r="E26" s="24">
        <f>E25+C26-D26</f>
      </c>
      <c r="F26" s="25">
        <f>E26*Hypothèses!$B$6</f>
      </c>
      <c r="G26" s="25">
        <f>C26*Hypothèses!$B$24</f>
      </c>
      <c r="H26" s="25">
        <f>E26*Hypothèses!$B$25</f>
      </c>
      <c r="I26" s="25">
        <f>Hypothèses!$B$21</f>
      </c>
      <c r="J26" s="26">
        <f>F26-G26-H26-I26</f>
      </c>
      <c r="K26" s="27">
        <f>K25+J26</f>
      </c>
      <c r="M26" s="23">
        <f>Hypothèses!B11</f>
      </c>
      <c r="N26" s="23">
        <f>ROUND(O25*Hypothèses!$B$7,0)</f>
      </c>
      <c r="O26" s="24">
        <f>O25+M26-N26</f>
      </c>
      <c r="P26" s="25">
        <f>O26*Hypothèses!$B$6</f>
      </c>
      <c r="Q26" s="25">
        <f>M26*Hypothèses!$B$24</f>
      </c>
      <c r="R26" s="25">
        <f>O26*Hypothèses!$B$25</f>
      </c>
      <c r="S26" s="25">
        <f>Hypothèses!$B$21</f>
      </c>
      <c r="T26" s="26">
        <f>P26-Q26-R26-S26</f>
      </c>
      <c r="U26" s="27">
        <f>U25+T26</f>
      </c>
      <c r="W26" s="23">
        <f>Hypothèses!B12</f>
      </c>
      <c r="X26" s="23">
        <f>ROUND(Y25*Hypothèses!$B$7,0)</f>
      </c>
      <c r="Y26" s="24">
        <f>Y25+W26-X26</f>
      </c>
      <c r="Z26" s="25">
        <f>Y26*Hypothèses!$B$6</f>
      </c>
      <c r="AA26" s="25">
        <f>W26*Hypothèses!$B$24</f>
      </c>
      <c r="AB26" s="25">
        <f>Y26*Hypothèses!$B$25</f>
      </c>
      <c r="AC26" s="25">
        <f>Hypothèses!$B$21</f>
      </c>
      <c r="AD26" s="26">
        <f>Z26-AA26-AB26-AC26</f>
      </c>
      <c r="AE26" s="27">
        <f>AE25+AD26</f>
      </c>
    </row>
    <row r="27" ht="18" customHeight="1" spans="1:31" x14ac:dyDescent="0.25">
      <c r="A27" s="21">
        <v>24</v>
      </c>
      <c r="B27" s="22">
        <v>46722.20833333333</v>
      </c>
      <c r="C27" s="33">
        <f>Hypothèses!B10</f>
      </c>
      <c r="D27" s="33">
        <f>ROUND(E26*Hypothèses!$B$7,0)</f>
      </c>
      <c r="E27" s="34">
        <f>E26+C27-D27</f>
      </c>
      <c r="F27" s="35">
        <f>E27*Hypothèses!$B$6</f>
      </c>
      <c r="G27" s="35">
        <f>C27*Hypothèses!$B$24</f>
      </c>
      <c r="H27" s="35">
        <f>E27*Hypothèses!$B$25</f>
      </c>
      <c r="I27" s="35">
        <f>Hypothèses!$B$21</f>
      </c>
      <c r="J27" s="36">
        <f>F27-G27-H27-I27</f>
      </c>
      <c r="K27" s="37">
        <f>K26+J27</f>
      </c>
      <c r="M27" s="33">
        <f>Hypothèses!B11</f>
      </c>
      <c r="N27" s="33">
        <f>ROUND(O26*Hypothèses!$B$7,0)</f>
      </c>
      <c r="O27" s="34">
        <f>O26+M27-N27</f>
      </c>
      <c r="P27" s="35">
        <f>O27*Hypothèses!$B$6</f>
      </c>
      <c r="Q27" s="35">
        <f>M27*Hypothèses!$B$24</f>
      </c>
      <c r="R27" s="35">
        <f>O27*Hypothèses!$B$25</f>
      </c>
      <c r="S27" s="35">
        <f>Hypothèses!$B$21</f>
      </c>
      <c r="T27" s="36">
        <f>P27-Q27-R27-S27</f>
      </c>
      <c r="U27" s="37">
        <f>U26+T27</f>
      </c>
      <c r="W27" s="33">
        <f>Hypothèses!B12</f>
      </c>
      <c r="X27" s="33">
        <f>ROUND(Y26*Hypothèses!$B$7,0)</f>
      </c>
      <c r="Y27" s="34">
        <f>Y26+W27-X27</f>
      </c>
      <c r="Z27" s="35">
        <f>Y27*Hypothèses!$B$6</f>
      </c>
      <c r="AA27" s="35">
        <f>W27*Hypothèses!$B$24</f>
      </c>
      <c r="AB27" s="35">
        <f>Y27*Hypothèses!$B$25</f>
      </c>
      <c r="AC27" s="35">
        <f>Hypothèses!$B$21</f>
      </c>
      <c r="AD27" s="36">
        <f>Z27-AA27-AB27-AC27</f>
      </c>
      <c r="AE27" s="37">
        <f>AE26+AD27</f>
      </c>
    </row>
    <row r="28" ht="18" customHeight="1" spans="1:31" x14ac:dyDescent="0.25">
      <c r="A28" s="21">
        <v>25</v>
      </c>
      <c r="B28" s="22">
        <v>46753.20833333333</v>
      </c>
      <c r="C28" s="23">
        <f>Hypothèses!B10</f>
      </c>
      <c r="D28" s="23">
        <f>ROUND(E27*Hypothèses!$B$7,0)</f>
      </c>
      <c r="E28" s="24">
        <f>E27+C28-D28</f>
      </c>
      <c r="F28" s="25">
        <f>E28*Hypothèses!$B$6</f>
      </c>
      <c r="G28" s="25">
        <f>C28*Hypothèses!$B$24</f>
      </c>
      <c r="H28" s="25">
        <f>E28*Hypothèses!$B$25</f>
      </c>
      <c r="I28" s="25">
        <f>Hypothèses!$B$21</f>
      </c>
      <c r="J28" s="26">
        <f>F28-G28-H28-I28</f>
      </c>
      <c r="K28" s="27">
        <f>K27+J28</f>
      </c>
      <c r="M28" s="23">
        <f>Hypothèses!B11</f>
      </c>
      <c r="N28" s="23">
        <f>ROUND(O27*Hypothèses!$B$7,0)</f>
      </c>
      <c r="O28" s="24">
        <f>O27+M28-N28</f>
      </c>
      <c r="P28" s="25">
        <f>O28*Hypothèses!$B$6</f>
      </c>
      <c r="Q28" s="25">
        <f>M28*Hypothèses!$B$24</f>
      </c>
      <c r="R28" s="25">
        <f>O28*Hypothèses!$B$25</f>
      </c>
      <c r="S28" s="25">
        <f>Hypothèses!$B$21</f>
      </c>
      <c r="T28" s="26">
        <f>P28-Q28-R28-S28</f>
      </c>
      <c r="U28" s="27">
        <f>U27+T28</f>
      </c>
      <c r="W28" s="23">
        <f>Hypothèses!B12</f>
      </c>
      <c r="X28" s="23">
        <f>ROUND(Y27*Hypothèses!$B$7,0)</f>
      </c>
      <c r="Y28" s="24">
        <f>Y27+W28-X28</f>
      </c>
      <c r="Z28" s="25">
        <f>Y28*Hypothèses!$B$6</f>
      </c>
      <c r="AA28" s="25">
        <f>W28*Hypothèses!$B$24</f>
      </c>
      <c r="AB28" s="25">
        <f>Y28*Hypothèses!$B$25</f>
      </c>
      <c r="AC28" s="25">
        <f>Hypothèses!$B$21</f>
      </c>
      <c r="AD28" s="26">
        <f>Z28-AA28-AB28-AC28</f>
      </c>
      <c r="AE28" s="27">
        <f>AE27+AD28</f>
      </c>
    </row>
    <row r="29" ht="18" customHeight="1" spans="1:31" x14ac:dyDescent="0.25">
      <c r="A29" s="21">
        <v>26</v>
      </c>
      <c r="B29" s="22">
        <v>46784.20833333333</v>
      </c>
      <c r="C29" s="28">
        <f>Hypothèses!B10</f>
      </c>
      <c r="D29" s="28">
        <f>ROUND(E28*Hypothèses!$B$7,0)</f>
      </c>
      <c r="E29" s="29">
        <f>E28+C29-D29</f>
      </c>
      <c r="F29" s="30">
        <f>E29*Hypothèses!$B$6</f>
      </c>
      <c r="G29" s="30">
        <f>C29*Hypothèses!$B$24</f>
      </c>
      <c r="H29" s="30">
        <f>E29*Hypothèses!$B$25</f>
      </c>
      <c r="I29" s="30">
        <f>Hypothèses!$B$21</f>
      </c>
      <c r="J29" s="31">
        <f>F29-G29-H29-I29</f>
      </c>
      <c r="K29" s="32">
        <f>K28+J29</f>
      </c>
      <c r="M29" s="28">
        <f>Hypothèses!B11</f>
      </c>
      <c r="N29" s="28">
        <f>ROUND(O28*Hypothèses!$B$7,0)</f>
      </c>
      <c r="O29" s="29">
        <f>O28+M29-N29</f>
      </c>
      <c r="P29" s="30">
        <f>O29*Hypothèses!$B$6</f>
      </c>
      <c r="Q29" s="30">
        <f>M29*Hypothèses!$B$24</f>
      </c>
      <c r="R29" s="30">
        <f>O29*Hypothèses!$B$25</f>
      </c>
      <c r="S29" s="30">
        <f>Hypothèses!$B$21</f>
      </c>
      <c r="T29" s="31">
        <f>P29-Q29-R29-S29</f>
      </c>
      <c r="U29" s="32">
        <f>U28+T29</f>
      </c>
      <c r="W29" s="28">
        <f>Hypothèses!B12</f>
      </c>
      <c r="X29" s="28">
        <f>ROUND(Y28*Hypothèses!$B$7,0)</f>
      </c>
      <c r="Y29" s="29">
        <f>Y28+W29-X29</f>
      </c>
      <c r="Z29" s="30">
        <f>Y29*Hypothèses!$B$6</f>
      </c>
      <c r="AA29" s="30">
        <f>W29*Hypothèses!$B$24</f>
      </c>
      <c r="AB29" s="30">
        <f>Y29*Hypothèses!$B$25</f>
      </c>
      <c r="AC29" s="30">
        <f>Hypothèses!$B$21</f>
      </c>
      <c r="AD29" s="31">
        <f>Z29-AA29-AB29-AC29</f>
      </c>
      <c r="AE29" s="32">
        <f>AE28+AD29</f>
      </c>
    </row>
    <row r="30" ht="18" customHeight="1" spans="1:31" x14ac:dyDescent="0.25">
      <c r="A30" s="21">
        <v>27</v>
      </c>
      <c r="B30" s="22">
        <v>46813.20833333333</v>
      </c>
      <c r="C30" s="23">
        <f>Hypothèses!B10</f>
      </c>
      <c r="D30" s="23">
        <f>ROUND(E29*Hypothèses!$B$7,0)</f>
      </c>
      <c r="E30" s="24">
        <f>E29+C30-D30</f>
      </c>
      <c r="F30" s="25">
        <f>E30*Hypothèses!$B$6</f>
      </c>
      <c r="G30" s="25">
        <f>C30*Hypothèses!$B$24</f>
      </c>
      <c r="H30" s="25">
        <f>E30*Hypothèses!$B$25</f>
      </c>
      <c r="I30" s="25">
        <f>Hypothèses!$B$21</f>
      </c>
      <c r="J30" s="26">
        <f>F30-G30-H30-I30</f>
      </c>
      <c r="K30" s="27">
        <f>K29+J30</f>
      </c>
      <c r="M30" s="23">
        <f>Hypothèses!B11</f>
      </c>
      <c r="N30" s="23">
        <f>ROUND(O29*Hypothèses!$B$7,0)</f>
      </c>
      <c r="O30" s="24">
        <f>O29+M30-N30</f>
      </c>
      <c r="P30" s="25">
        <f>O30*Hypothèses!$B$6</f>
      </c>
      <c r="Q30" s="25">
        <f>M30*Hypothèses!$B$24</f>
      </c>
      <c r="R30" s="25">
        <f>O30*Hypothèses!$B$25</f>
      </c>
      <c r="S30" s="25">
        <f>Hypothèses!$B$21</f>
      </c>
      <c r="T30" s="26">
        <f>P30-Q30-R30-S30</f>
      </c>
      <c r="U30" s="27">
        <f>U29+T30</f>
      </c>
      <c r="W30" s="23">
        <f>Hypothèses!B12</f>
      </c>
      <c r="X30" s="23">
        <f>ROUND(Y29*Hypothèses!$B$7,0)</f>
      </c>
      <c r="Y30" s="24">
        <f>Y29+W30-X30</f>
      </c>
      <c r="Z30" s="25">
        <f>Y30*Hypothèses!$B$6</f>
      </c>
      <c r="AA30" s="25">
        <f>W30*Hypothèses!$B$24</f>
      </c>
      <c r="AB30" s="25">
        <f>Y30*Hypothèses!$B$25</f>
      </c>
      <c r="AC30" s="25">
        <f>Hypothèses!$B$21</f>
      </c>
      <c r="AD30" s="26">
        <f>Z30-AA30-AB30-AC30</f>
      </c>
      <c r="AE30" s="27">
        <f>AE29+AD30</f>
      </c>
    </row>
    <row r="31" ht="18" customHeight="1" spans="1:31" x14ac:dyDescent="0.25">
      <c r="A31" s="21">
        <v>28</v>
      </c>
      <c r="B31" s="22">
        <v>46844.16666666667</v>
      </c>
      <c r="C31" s="28">
        <f>Hypothèses!B10</f>
      </c>
      <c r="D31" s="28">
        <f>ROUND(E30*Hypothèses!$B$7,0)</f>
      </c>
      <c r="E31" s="29">
        <f>E30+C31-D31</f>
      </c>
      <c r="F31" s="30">
        <f>E31*Hypothèses!$B$6</f>
      </c>
      <c r="G31" s="30">
        <f>C31*Hypothèses!$B$24</f>
      </c>
      <c r="H31" s="30">
        <f>E31*Hypothèses!$B$25</f>
      </c>
      <c r="I31" s="30">
        <f>Hypothèses!$B$21</f>
      </c>
      <c r="J31" s="31">
        <f>F31-G31-H31-I31</f>
      </c>
      <c r="K31" s="32">
        <f>K30+J31</f>
      </c>
      <c r="M31" s="28">
        <f>Hypothèses!B11</f>
      </c>
      <c r="N31" s="28">
        <f>ROUND(O30*Hypothèses!$B$7,0)</f>
      </c>
      <c r="O31" s="29">
        <f>O30+M31-N31</f>
      </c>
      <c r="P31" s="30">
        <f>O31*Hypothèses!$B$6</f>
      </c>
      <c r="Q31" s="30">
        <f>M31*Hypothèses!$B$24</f>
      </c>
      <c r="R31" s="30">
        <f>O31*Hypothèses!$B$25</f>
      </c>
      <c r="S31" s="30">
        <f>Hypothèses!$B$21</f>
      </c>
      <c r="T31" s="31">
        <f>P31-Q31-R31-S31</f>
      </c>
      <c r="U31" s="32">
        <f>U30+T31</f>
      </c>
      <c r="W31" s="28">
        <f>Hypothèses!B12</f>
      </c>
      <c r="X31" s="28">
        <f>ROUND(Y30*Hypothèses!$B$7,0)</f>
      </c>
      <c r="Y31" s="29">
        <f>Y30+W31-X31</f>
      </c>
      <c r="Z31" s="30">
        <f>Y31*Hypothèses!$B$6</f>
      </c>
      <c r="AA31" s="30">
        <f>W31*Hypothèses!$B$24</f>
      </c>
      <c r="AB31" s="30">
        <f>Y31*Hypothèses!$B$25</f>
      </c>
      <c r="AC31" s="30">
        <f>Hypothèses!$B$21</f>
      </c>
      <c r="AD31" s="31">
        <f>Z31-AA31-AB31-AC31</f>
      </c>
      <c r="AE31" s="32">
        <f>AE30+AD31</f>
      </c>
    </row>
    <row r="32" ht="18" customHeight="1" spans="1:31" x14ac:dyDescent="0.25">
      <c r="A32" s="21">
        <v>29</v>
      </c>
      <c r="B32" s="22">
        <v>46874.16666666667</v>
      </c>
      <c r="C32" s="23">
        <f>Hypothèses!B10</f>
      </c>
      <c r="D32" s="23">
        <f>ROUND(E31*Hypothèses!$B$7,0)</f>
      </c>
      <c r="E32" s="24">
        <f>E31+C32-D32</f>
      </c>
      <c r="F32" s="25">
        <f>E32*Hypothèses!$B$6</f>
      </c>
      <c r="G32" s="25">
        <f>C32*Hypothèses!$B$24</f>
      </c>
      <c r="H32" s="25">
        <f>E32*Hypothèses!$B$25</f>
      </c>
      <c r="I32" s="25">
        <f>Hypothèses!$B$21</f>
      </c>
      <c r="J32" s="26">
        <f>F32-G32-H32-I32</f>
      </c>
      <c r="K32" s="27">
        <f>K31+J32</f>
      </c>
      <c r="M32" s="23">
        <f>Hypothèses!B11</f>
      </c>
      <c r="N32" s="23">
        <f>ROUND(O31*Hypothèses!$B$7,0)</f>
      </c>
      <c r="O32" s="24">
        <f>O31+M32-N32</f>
      </c>
      <c r="P32" s="25">
        <f>O32*Hypothèses!$B$6</f>
      </c>
      <c r="Q32" s="25">
        <f>M32*Hypothèses!$B$24</f>
      </c>
      <c r="R32" s="25">
        <f>O32*Hypothèses!$B$25</f>
      </c>
      <c r="S32" s="25">
        <f>Hypothèses!$B$21</f>
      </c>
      <c r="T32" s="26">
        <f>P32-Q32-R32-S32</f>
      </c>
      <c r="U32" s="27">
        <f>U31+T32</f>
      </c>
      <c r="W32" s="23">
        <f>Hypothèses!B12</f>
      </c>
      <c r="X32" s="23">
        <f>ROUND(Y31*Hypothèses!$B$7,0)</f>
      </c>
      <c r="Y32" s="24">
        <f>Y31+W32-X32</f>
      </c>
      <c r="Z32" s="25">
        <f>Y32*Hypothèses!$B$6</f>
      </c>
      <c r="AA32" s="25">
        <f>W32*Hypothèses!$B$24</f>
      </c>
      <c r="AB32" s="25">
        <f>Y32*Hypothèses!$B$25</f>
      </c>
      <c r="AC32" s="25">
        <f>Hypothèses!$B$21</f>
      </c>
      <c r="AD32" s="26">
        <f>Z32-AA32-AB32-AC32</f>
      </c>
      <c r="AE32" s="27">
        <f>AE31+AD32</f>
      </c>
    </row>
    <row r="33" ht="18" customHeight="1" spans="1:31" x14ac:dyDescent="0.25">
      <c r="A33" s="21">
        <v>30</v>
      </c>
      <c r="B33" s="22">
        <v>46905.16666666667</v>
      </c>
      <c r="C33" s="28">
        <f>Hypothèses!B10</f>
      </c>
      <c r="D33" s="28">
        <f>ROUND(E32*Hypothèses!$B$7,0)</f>
      </c>
      <c r="E33" s="29">
        <f>E32+C33-D33</f>
      </c>
      <c r="F33" s="30">
        <f>E33*Hypothèses!$B$6</f>
      </c>
      <c r="G33" s="30">
        <f>C33*Hypothèses!$B$24</f>
      </c>
      <c r="H33" s="30">
        <f>E33*Hypothèses!$B$25</f>
      </c>
      <c r="I33" s="30">
        <f>Hypothèses!$B$21</f>
      </c>
      <c r="J33" s="31">
        <f>F33-G33-H33-I33</f>
      </c>
      <c r="K33" s="32">
        <f>K32+J33</f>
      </c>
      <c r="M33" s="28">
        <f>Hypothèses!B11</f>
      </c>
      <c r="N33" s="28">
        <f>ROUND(O32*Hypothèses!$B$7,0)</f>
      </c>
      <c r="O33" s="29">
        <f>O32+M33-N33</f>
      </c>
      <c r="P33" s="30">
        <f>O33*Hypothèses!$B$6</f>
      </c>
      <c r="Q33" s="30">
        <f>M33*Hypothèses!$B$24</f>
      </c>
      <c r="R33" s="30">
        <f>O33*Hypothèses!$B$25</f>
      </c>
      <c r="S33" s="30">
        <f>Hypothèses!$B$21</f>
      </c>
      <c r="T33" s="31">
        <f>P33-Q33-R33-S33</f>
      </c>
      <c r="U33" s="32">
        <f>U32+T33</f>
      </c>
      <c r="W33" s="28">
        <f>Hypothèses!B12</f>
      </c>
      <c r="X33" s="28">
        <f>ROUND(Y32*Hypothèses!$B$7,0)</f>
      </c>
      <c r="Y33" s="29">
        <f>Y32+W33-X33</f>
      </c>
      <c r="Z33" s="30">
        <f>Y33*Hypothèses!$B$6</f>
      </c>
      <c r="AA33" s="30">
        <f>W33*Hypothèses!$B$24</f>
      </c>
      <c r="AB33" s="30">
        <f>Y33*Hypothèses!$B$25</f>
      </c>
      <c r="AC33" s="30">
        <f>Hypothèses!$B$21</f>
      </c>
      <c r="AD33" s="31">
        <f>Z33-AA33-AB33-AC33</f>
      </c>
      <c r="AE33" s="32">
        <f>AE32+AD33</f>
      </c>
    </row>
    <row r="34" ht="18" customHeight="1" spans="1:31" x14ac:dyDescent="0.25">
      <c r="A34" s="21">
        <v>31</v>
      </c>
      <c r="B34" s="22">
        <v>46935.16666666667</v>
      </c>
      <c r="C34" s="23">
        <f>Hypothèses!B10</f>
      </c>
      <c r="D34" s="23">
        <f>ROUND(E33*Hypothèses!$B$7,0)</f>
      </c>
      <c r="E34" s="24">
        <f>E33+C34-D34</f>
      </c>
      <c r="F34" s="25">
        <f>E34*Hypothèses!$B$6</f>
      </c>
      <c r="G34" s="25">
        <f>C34*Hypothèses!$B$24</f>
      </c>
      <c r="H34" s="25">
        <f>E34*Hypothèses!$B$25</f>
      </c>
      <c r="I34" s="25">
        <f>Hypothèses!$B$21</f>
      </c>
      <c r="J34" s="26">
        <f>F34-G34-H34-I34</f>
      </c>
      <c r="K34" s="27">
        <f>K33+J34</f>
      </c>
      <c r="M34" s="23">
        <f>Hypothèses!B11</f>
      </c>
      <c r="N34" s="23">
        <f>ROUND(O33*Hypothèses!$B$7,0)</f>
      </c>
      <c r="O34" s="24">
        <f>O33+M34-N34</f>
      </c>
      <c r="P34" s="25">
        <f>O34*Hypothèses!$B$6</f>
      </c>
      <c r="Q34" s="25">
        <f>M34*Hypothèses!$B$24</f>
      </c>
      <c r="R34" s="25">
        <f>O34*Hypothèses!$B$25</f>
      </c>
      <c r="S34" s="25">
        <f>Hypothèses!$B$21</f>
      </c>
      <c r="T34" s="26">
        <f>P34-Q34-R34-S34</f>
      </c>
      <c r="U34" s="27">
        <f>U33+T34</f>
      </c>
      <c r="W34" s="23">
        <f>Hypothèses!B12</f>
      </c>
      <c r="X34" s="23">
        <f>ROUND(Y33*Hypothèses!$B$7,0)</f>
      </c>
      <c r="Y34" s="24">
        <f>Y33+W34-X34</f>
      </c>
      <c r="Z34" s="25">
        <f>Y34*Hypothèses!$B$6</f>
      </c>
      <c r="AA34" s="25">
        <f>W34*Hypothèses!$B$24</f>
      </c>
      <c r="AB34" s="25">
        <f>Y34*Hypothèses!$B$25</f>
      </c>
      <c r="AC34" s="25">
        <f>Hypothèses!$B$21</f>
      </c>
      <c r="AD34" s="26">
        <f>Z34-AA34-AB34-AC34</f>
      </c>
      <c r="AE34" s="27">
        <f>AE33+AD34</f>
      </c>
    </row>
    <row r="35" ht="18" customHeight="1" spans="1:31" x14ac:dyDescent="0.25">
      <c r="A35" s="21">
        <v>32</v>
      </c>
      <c r="B35" s="22">
        <v>46966.16666666667</v>
      </c>
      <c r="C35" s="28">
        <f>Hypothèses!B10</f>
      </c>
      <c r="D35" s="28">
        <f>ROUND(E34*Hypothèses!$B$7,0)</f>
      </c>
      <c r="E35" s="29">
        <f>E34+C35-D35</f>
      </c>
      <c r="F35" s="30">
        <f>E35*Hypothèses!$B$6</f>
      </c>
      <c r="G35" s="30">
        <f>C35*Hypothèses!$B$24</f>
      </c>
      <c r="H35" s="30">
        <f>E35*Hypothèses!$B$25</f>
      </c>
      <c r="I35" s="30">
        <f>Hypothèses!$B$21</f>
      </c>
      <c r="J35" s="31">
        <f>F35-G35-H35-I35</f>
      </c>
      <c r="K35" s="32">
        <f>K34+J35</f>
      </c>
      <c r="M35" s="28">
        <f>Hypothèses!B11</f>
      </c>
      <c r="N35" s="28">
        <f>ROUND(O34*Hypothèses!$B$7,0)</f>
      </c>
      <c r="O35" s="29">
        <f>O34+M35-N35</f>
      </c>
      <c r="P35" s="30">
        <f>O35*Hypothèses!$B$6</f>
      </c>
      <c r="Q35" s="30">
        <f>M35*Hypothèses!$B$24</f>
      </c>
      <c r="R35" s="30">
        <f>O35*Hypothèses!$B$25</f>
      </c>
      <c r="S35" s="30">
        <f>Hypothèses!$B$21</f>
      </c>
      <c r="T35" s="31">
        <f>P35-Q35-R35-S35</f>
      </c>
      <c r="U35" s="32">
        <f>U34+T35</f>
      </c>
      <c r="W35" s="28">
        <f>Hypothèses!B12</f>
      </c>
      <c r="X35" s="28">
        <f>ROUND(Y34*Hypothèses!$B$7,0)</f>
      </c>
      <c r="Y35" s="29">
        <f>Y34+W35-X35</f>
      </c>
      <c r="Z35" s="30">
        <f>Y35*Hypothèses!$B$6</f>
      </c>
      <c r="AA35" s="30">
        <f>W35*Hypothèses!$B$24</f>
      </c>
      <c r="AB35" s="30">
        <f>Y35*Hypothèses!$B$25</f>
      </c>
      <c r="AC35" s="30">
        <f>Hypothèses!$B$21</f>
      </c>
      <c r="AD35" s="31">
        <f>Z35-AA35-AB35-AC35</f>
      </c>
      <c r="AE35" s="32">
        <f>AE34+AD35</f>
      </c>
    </row>
    <row r="36" ht="18" customHeight="1" spans="1:31" x14ac:dyDescent="0.25">
      <c r="A36" s="21">
        <v>33</v>
      </c>
      <c r="B36" s="22">
        <v>46997.16666666667</v>
      </c>
      <c r="C36" s="23">
        <f>Hypothèses!B10</f>
      </c>
      <c r="D36" s="23">
        <f>ROUND(E35*Hypothèses!$B$7,0)</f>
      </c>
      <c r="E36" s="24">
        <f>E35+C36-D36</f>
      </c>
      <c r="F36" s="25">
        <f>E36*Hypothèses!$B$6</f>
      </c>
      <c r="G36" s="25">
        <f>C36*Hypothèses!$B$24</f>
      </c>
      <c r="H36" s="25">
        <f>E36*Hypothèses!$B$25</f>
      </c>
      <c r="I36" s="25">
        <f>Hypothèses!$B$21</f>
      </c>
      <c r="J36" s="26">
        <f>F36-G36-H36-I36</f>
      </c>
      <c r="K36" s="27">
        <f>K35+J36</f>
      </c>
      <c r="M36" s="23">
        <f>Hypothèses!B11</f>
      </c>
      <c r="N36" s="23">
        <f>ROUND(O35*Hypothèses!$B$7,0)</f>
      </c>
      <c r="O36" s="24">
        <f>O35+M36-N36</f>
      </c>
      <c r="P36" s="25">
        <f>O36*Hypothèses!$B$6</f>
      </c>
      <c r="Q36" s="25">
        <f>M36*Hypothèses!$B$24</f>
      </c>
      <c r="R36" s="25">
        <f>O36*Hypothèses!$B$25</f>
      </c>
      <c r="S36" s="25">
        <f>Hypothèses!$B$21</f>
      </c>
      <c r="T36" s="26">
        <f>P36-Q36-R36-S36</f>
      </c>
      <c r="U36" s="27">
        <f>U35+T36</f>
      </c>
      <c r="W36" s="23">
        <f>Hypothèses!B12</f>
      </c>
      <c r="X36" s="23">
        <f>ROUND(Y35*Hypothèses!$B$7,0)</f>
      </c>
      <c r="Y36" s="24">
        <f>Y35+W36-X36</f>
      </c>
      <c r="Z36" s="25">
        <f>Y36*Hypothèses!$B$6</f>
      </c>
      <c r="AA36" s="25">
        <f>W36*Hypothèses!$B$24</f>
      </c>
      <c r="AB36" s="25">
        <f>Y36*Hypothèses!$B$25</f>
      </c>
      <c r="AC36" s="25">
        <f>Hypothèses!$B$21</f>
      </c>
      <c r="AD36" s="26">
        <f>Z36-AA36-AB36-AC36</f>
      </c>
      <c r="AE36" s="27">
        <f>AE35+AD36</f>
      </c>
    </row>
    <row r="37" ht="18" customHeight="1" spans="1:31" x14ac:dyDescent="0.25">
      <c r="A37" s="21">
        <v>34</v>
      </c>
      <c r="B37" s="22">
        <v>47027.16666666667</v>
      </c>
      <c r="C37" s="28">
        <f>Hypothèses!B10</f>
      </c>
      <c r="D37" s="28">
        <f>ROUND(E36*Hypothèses!$B$7,0)</f>
      </c>
      <c r="E37" s="29">
        <f>E36+C37-D37</f>
      </c>
      <c r="F37" s="30">
        <f>E37*Hypothèses!$B$6</f>
      </c>
      <c r="G37" s="30">
        <f>C37*Hypothèses!$B$24</f>
      </c>
      <c r="H37" s="30">
        <f>E37*Hypothèses!$B$25</f>
      </c>
      <c r="I37" s="30">
        <f>Hypothèses!$B$21</f>
      </c>
      <c r="J37" s="31">
        <f>F37-G37-H37-I37</f>
      </c>
      <c r="K37" s="32">
        <f>K36+J37</f>
      </c>
      <c r="M37" s="28">
        <f>Hypothèses!B11</f>
      </c>
      <c r="N37" s="28">
        <f>ROUND(O36*Hypothèses!$B$7,0)</f>
      </c>
      <c r="O37" s="29">
        <f>O36+M37-N37</f>
      </c>
      <c r="P37" s="30">
        <f>O37*Hypothèses!$B$6</f>
      </c>
      <c r="Q37" s="30">
        <f>M37*Hypothèses!$B$24</f>
      </c>
      <c r="R37" s="30">
        <f>O37*Hypothèses!$B$25</f>
      </c>
      <c r="S37" s="30">
        <f>Hypothèses!$B$21</f>
      </c>
      <c r="T37" s="31">
        <f>P37-Q37-R37-S37</f>
      </c>
      <c r="U37" s="32">
        <f>U36+T37</f>
      </c>
      <c r="W37" s="28">
        <f>Hypothèses!B12</f>
      </c>
      <c r="X37" s="28">
        <f>ROUND(Y36*Hypothèses!$B$7,0)</f>
      </c>
      <c r="Y37" s="29">
        <f>Y36+W37-X37</f>
      </c>
      <c r="Z37" s="30">
        <f>Y37*Hypothèses!$B$6</f>
      </c>
      <c r="AA37" s="30">
        <f>W37*Hypothèses!$B$24</f>
      </c>
      <c r="AB37" s="30">
        <f>Y37*Hypothèses!$B$25</f>
      </c>
      <c r="AC37" s="30">
        <f>Hypothèses!$B$21</f>
      </c>
      <c r="AD37" s="31">
        <f>Z37-AA37-AB37-AC37</f>
      </c>
      <c r="AE37" s="32">
        <f>AE36+AD37</f>
      </c>
    </row>
    <row r="38" ht="18" customHeight="1" spans="1:31" x14ac:dyDescent="0.25">
      <c r="A38" s="21">
        <v>35</v>
      </c>
      <c r="B38" s="22">
        <v>47058.16666666667</v>
      </c>
      <c r="C38" s="23">
        <f>Hypothèses!B10</f>
      </c>
      <c r="D38" s="23">
        <f>ROUND(E37*Hypothèses!$B$7,0)</f>
      </c>
      <c r="E38" s="24">
        <f>E37+C38-D38</f>
      </c>
      <c r="F38" s="25">
        <f>E38*Hypothèses!$B$6</f>
      </c>
      <c r="G38" s="25">
        <f>C38*Hypothèses!$B$24</f>
      </c>
      <c r="H38" s="25">
        <f>E38*Hypothèses!$B$25</f>
      </c>
      <c r="I38" s="25">
        <f>Hypothèses!$B$21</f>
      </c>
      <c r="J38" s="26">
        <f>F38-G38-H38-I38</f>
      </c>
      <c r="K38" s="27">
        <f>K37+J38</f>
      </c>
      <c r="M38" s="23">
        <f>Hypothèses!B11</f>
      </c>
      <c r="N38" s="23">
        <f>ROUND(O37*Hypothèses!$B$7,0)</f>
      </c>
      <c r="O38" s="24">
        <f>O37+M38-N38</f>
      </c>
      <c r="P38" s="25">
        <f>O38*Hypothèses!$B$6</f>
      </c>
      <c r="Q38" s="25">
        <f>M38*Hypothèses!$B$24</f>
      </c>
      <c r="R38" s="25">
        <f>O38*Hypothèses!$B$25</f>
      </c>
      <c r="S38" s="25">
        <f>Hypothèses!$B$21</f>
      </c>
      <c r="T38" s="26">
        <f>P38-Q38-R38-S38</f>
      </c>
      <c r="U38" s="27">
        <f>U37+T38</f>
      </c>
      <c r="W38" s="23">
        <f>Hypothèses!B12</f>
      </c>
      <c r="X38" s="23">
        <f>ROUND(Y37*Hypothèses!$B$7,0)</f>
      </c>
      <c r="Y38" s="24">
        <f>Y37+W38-X38</f>
      </c>
      <c r="Z38" s="25">
        <f>Y38*Hypothèses!$B$6</f>
      </c>
      <c r="AA38" s="25">
        <f>W38*Hypothèses!$B$24</f>
      </c>
      <c r="AB38" s="25">
        <f>Y38*Hypothèses!$B$25</f>
      </c>
      <c r="AC38" s="25">
        <f>Hypothèses!$B$21</f>
      </c>
      <c r="AD38" s="26">
        <f>Z38-AA38-AB38-AC38</f>
      </c>
      <c r="AE38" s="27">
        <f>AE37+AD38</f>
      </c>
    </row>
    <row r="39" ht="18" customHeight="1" spans="1:31" x14ac:dyDescent="0.25">
      <c r="A39" s="21">
        <v>36</v>
      </c>
      <c r="B39" s="22">
        <v>47088.20833333333</v>
      </c>
      <c r="C39" s="28">
        <f>Hypothèses!B10</f>
      </c>
      <c r="D39" s="28">
        <f>ROUND(E38*Hypothèses!$B$7,0)</f>
      </c>
      <c r="E39" s="29">
        <f>E38+C39-D39</f>
      </c>
      <c r="F39" s="30">
        <f>E39*Hypothèses!$B$6</f>
      </c>
      <c r="G39" s="30">
        <f>C39*Hypothèses!$B$24</f>
      </c>
      <c r="H39" s="30">
        <f>E39*Hypothèses!$B$25</f>
      </c>
      <c r="I39" s="30">
        <f>Hypothèses!$B$21</f>
      </c>
      <c r="J39" s="31">
        <f>F39-G39-H39-I39</f>
      </c>
      <c r="K39" s="32">
        <f>K38+J39</f>
      </c>
      <c r="M39" s="28">
        <f>Hypothèses!B11</f>
      </c>
      <c r="N39" s="28">
        <f>ROUND(O38*Hypothèses!$B$7,0)</f>
      </c>
      <c r="O39" s="29">
        <f>O38+M39-N39</f>
      </c>
      <c r="P39" s="30">
        <f>O39*Hypothèses!$B$6</f>
      </c>
      <c r="Q39" s="30">
        <f>M39*Hypothèses!$B$24</f>
      </c>
      <c r="R39" s="30">
        <f>O39*Hypothèses!$B$25</f>
      </c>
      <c r="S39" s="30">
        <f>Hypothèses!$B$21</f>
      </c>
      <c r="T39" s="31">
        <f>P39-Q39-R39-S39</f>
      </c>
      <c r="U39" s="32">
        <f>U38+T39</f>
      </c>
      <c r="W39" s="28">
        <f>Hypothèses!B12</f>
      </c>
      <c r="X39" s="28">
        <f>ROUND(Y38*Hypothèses!$B$7,0)</f>
      </c>
      <c r="Y39" s="29">
        <f>Y38+W39-X39</f>
      </c>
      <c r="Z39" s="30">
        <f>Y39*Hypothèses!$B$6</f>
      </c>
      <c r="AA39" s="30">
        <f>W39*Hypothèses!$B$24</f>
      </c>
      <c r="AB39" s="30">
        <f>Y39*Hypothèses!$B$25</f>
      </c>
      <c r="AC39" s="30">
        <f>Hypothèses!$B$21</f>
      </c>
      <c r="AD39" s="31">
        <f>Z39-AA39-AB39-AC39</f>
      </c>
      <c r="AE39" s="32">
        <f>AE38+AD39</f>
      </c>
    </row>
    <row r="40" ht="20" customHeight="1" spans="1:31" x14ac:dyDescent="0.25">
      <c r="A40" s="3" t="s">
        <v>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8" customHeight="1" spans="1:31" x14ac:dyDescent="0.25">
      <c r="A41" s="13" t="s">
        <v>52</v>
      </c>
      <c r="B41" s="13"/>
      <c r="C41" s="4"/>
      <c r="D41" s="4"/>
      <c r="E41" s="38">
        <f>E15</f>
      </c>
      <c r="F41" s="39">
        <f>SUM(F4:F15)</f>
      </c>
      <c r="G41" s="4"/>
      <c r="H41" s="4"/>
      <c r="I41" s="4"/>
      <c r="J41" s="40">
        <f>SUM(J4:J15)</f>
      </c>
      <c r="K41" s="4"/>
      <c r="M41" s="4"/>
      <c r="N41" s="4"/>
      <c r="O41" s="38">
        <f>O15</f>
      </c>
      <c r="P41" s="39">
        <f>SUM(P4:P15)</f>
      </c>
      <c r="Q41" s="4"/>
      <c r="R41" s="4"/>
      <c r="S41" s="4"/>
      <c r="T41" s="40">
        <f>SUM(T4:T15)</f>
      </c>
      <c r="U41" s="4"/>
      <c r="W41" s="4"/>
      <c r="X41" s="4"/>
      <c r="Y41" s="38">
        <f>Y15</f>
      </c>
      <c r="Z41" s="39">
        <f>SUM(Z4:Z15)</f>
      </c>
      <c r="AA41" s="4"/>
      <c r="AB41" s="4"/>
      <c r="AC41" s="4"/>
      <c r="AD41" s="40">
        <f>SUM(AD4:AD15)</f>
      </c>
      <c r="AE41" s="4"/>
    </row>
    <row r="42" ht="18" customHeight="1" spans="1:31" x14ac:dyDescent="0.25">
      <c r="A42" s="13" t="s">
        <v>53</v>
      </c>
      <c r="B42" s="13"/>
      <c r="C42" s="4"/>
      <c r="D42" s="4"/>
      <c r="E42" s="38">
        <f>E27</f>
      </c>
      <c r="F42" s="39">
        <f>SUM(F16:F27)</f>
      </c>
      <c r="G42" s="4"/>
      <c r="H42" s="4"/>
      <c r="I42" s="4"/>
      <c r="J42" s="40">
        <f>SUM(J16:J27)</f>
      </c>
      <c r="K42" s="4"/>
      <c r="M42" s="4"/>
      <c r="N42" s="4"/>
      <c r="O42" s="38">
        <f>O27</f>
      </c>
      <c r="P42" s="39">
        <f>SUM(P16:P27)</f>
      </c>
      <c r="Q42" s="4"/>
      <c r="R42" s="4"/>
      <c r="S42" s="4"/>
      <c r="T42" s="40">
        <f>SUM(T16:T27)</f>
      </c>
      <c r="U42" s="4"/>
      <c r="W42" s="4"/>
      <c r="X42" s="4"/>
      <c r="Y42" s="38">
        <f>Y27</f>
      </c>
      <c r="Z42" s="39">
        <f>SUM(Z16:Z27)</f>
      </c>
      <c r="AA42" s="4"/>
      <c r="AB42" s="4"/>
      <c r="AC42" s="4"/>
      <c r="AD42" s="40">
        <f>SUM(AD16:AD27)</f>
      </c>
      <c r="AE42" s="4"/>
    </row>
    <row r="43" ht="18" customHeight="1" spans="1:31" x14ac:dyDescent="0.25">
      <c r="A43" s="13" t="s">
        <v>54</v>
      </c>
      <c r="B43" s="13"/>
      <c r="C43" s="4"/>
      <c r="D43" s="4"/>
      <c r="E43" s="38">
        <f>E39</f>
      </c>
      <c r="F43" s="39">
        <f>SUM(F28:F39)</f>
      </c>
      <c r="G43" s="4"/>
      <c r="H43" s="4"/>
      <c r="I43" s="4"/>
      <c r="J43" s="40">
        <f>SUM(J28:J39)</f>
      </c>
      <c r="K43" s="4"/>
      <c r="M43" s="4"/>
      <c r="N43" s="4"/>
      <c r="O43" s="38">
        <f>O39</f>
      </c>
      <c r="P43" s="39">
        <f>SUM(P28:P39)</f>
      </c>
      <c r="Q43" s="4"/>
      <c r="R43" s="4"/>
      <c r="S43" s="4"/>
      <c r="T43" s="40">
        <f>SUM(T28:T39)</f>
      </c>
      <c r="U43" s="4"/>
      <c r="W43" s="4"/>
      <c r="X43" s="4"/>
      <c r="Y43" s="38">
        <f>Y39</f>
      </c>
      <c r="Z43" s="39">
        <f>SUM(Z28:Z39)</f>
      </c>
      <c r="AA43" s="4"/>
      <c r="AB43" s="4"/>
      <c r="AC43" s="4"/>
      <c r="AD43" s="40">
        <f>SUM(AD28:AD39)</f>
      </c>
      <c r="AE43" s="4"/>
    </row>
    <row r="44" ht="18" customHeight="1" spans="1:31" x14ac:dyDescent="0.25">
      <c r="A44" s="13" t="s">
        <v>55</v>
      </c>
      <c r="B44" s="13"/>
      <c r="C44" s="4"/>
      <c r="D44" s="4"/>
      <c r="E44" s="38">
        <f>E39</f>
      </c>
      <c r="F44" s="41">
        <f>SUM(F4:F39)</f>
      </c>
      <c r="G44" s="4"/>
      <c r="H44" s="4"/>
      <c r="I44" s="4"/>
      <c r="J44" s="42">
        <f>SUM(J4:J39)</f>
      </c>
      <c r="K44" s="4"/>
      <c r="M44" s="4"/>
      <c r="N44" s="4"/>
      <c r="O44" s="38">
        <f>O39</f>
      </c>
      <c r="P44" s="41">
        <f>SUM(P4:P39)</f>
      </c>
      <c r="Q44" s="4"/>
      <c r="R44" s="4"/>
      <c r="S44" s="4"/>
      <c r="T44" s="42">
        <f>SUM(T4:T39)</f>
      </c>
      <c r="U44" s="4"/>
      <c r="W44" s="4"/>
      <c r="X44" s="4"/>
      <c r="Y44" s="38">
        <f>Y39</f>
      </c>
      <c r="Z44" s="41">
        <f>SUM(Z4:Z39)</f>
      </c>
      <c r="AA44" s="4"/>
      <c r="AB44" s="4"/>
      <c r="AC44" s="4"/>
      <c r="AD44" s="42">
        <f>SUM(AD4:AD39)</f>
      </c>
      <c r="AE44" s="4"/>
    </row>
  </sheetData>
  <mergeCells count="9">
    <mergeCell ref="A1:AE1"/>
    <mergeCell ref="C2:K2"/>
    <mergeCell ref="M2:U2"/>
    <mergeCell ref="W2:AE2"/>
    <mergeCell ref="A40:AE40"/>
    <mergeCell ref="A41:B41"/>
    <mergeCell ref="A42:B42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6" customWidth="1"/>
    <col min="6" max="6" width="3" customWidth="1"/>
    <col min="7" max="7" width="18" customWidth="1"/>
    <col min="8" max="8" width="16" customWidth="1"/>
    <col min="10" max="10" width="16" customWidth="1"/>
  </cols>
  <sheetData>
    <row r="1" ht="24" customHeight="1" spans="1:8" x14ac:dyDescent="0.25">
      <c r="A1" s="43" t="s">
        <v>56</v>
      </c>
      <c r="B1" s="43"/>
      <c r="C1" s="43"/>
      <c r="D1" s="43"/>
      <c r="E1" s="43"/>
      <c r="F1" s="43"/>
      <c r="G1" s="43"/>
      <c r="H1" s="43"/>
    </row>
    <row r="2" ht="22" customHeight="1" spans="1:10" x14ac:dyDescent="0.25">
      <c r="A2" s="44" t="s">
        <v>57</v>
      </c>
      <c r="B2" s="44" t="s">
        <v>58</v>
      </c>
      <c r="C2" s="44" t="s">
        <v>59</v>
      </c>
      <c r="D2" s="44" t="s">
        <v>60</v>
      </c>
      <c r="E2" s="44" t="s">
        <v>61</v>
      </c>
      <c r="F2" s="44" t="s">
        <v>62</v>
      </c>
      <c r="G2" s="44" t="s">
        <v>63</v>
      </c>
      <c r="H2" s="44" t="s">
        <v>64</v>
      </c>
      <c r="I2" s="44" t="s">
        <v>65</v>
      </c>
      <c r="J2" s="44" t="s">
        <v>66</v>
      </c>
    </row>
    <row r="3" ht="18" customHeight="1" spans="1:10" x14ac:dyDescent="0.25">
      <c r="A3" s="13" t="s">
        <v>67</v>
      </c>
      <c r="B3" s="45">
        <v>362988</v>
      </c>
      <c r="C3" s="45">
        <v>362484</v>
      </c>
      <c r="D3" s="45">
        <v>35016</v>
      </c>
      <c r="E3" s="45">
        <v>317416</v>
      </c>
      <c r="F3" s="45">
        <v>339494</v>
      </c>
      <c r="G3" s="45">
        <v>387081</v>
      </c>
      <c r="H3" s="45">
        <v>408064</v>
      </c>
      <c r="I3" s="45">
        <v>239507</v>
      </c>
      <c r="J3" s="45">
        <v>475538</v>
      </c>
    </row>
    <row r="4" ht="18" customHeight="1" spans="1:10" x14ac:dyDescent="0.25">
      <c r="A4" s="13" t="s">
        <v>68</v>
      </c>
      <c r="B4" s="45">
        <v>1298592</v>
      </c>
      <c r="C4" s="45">
        <v>1299927</v>
      </c>
      <c r="D4" s="45">
        <v>151179</v>
      </c>
      <c r="E4" s="45">
        <v>1106621</v>
      </c>
      <c r="F4" s="45">
        <v>1196925</v>
      </c>
      <c r="G4" s="45">
        <v>1396797</v>
      </c>
      <c r="H4" s="45">
        <v>1495097</v>
      </c>
      <c r="I4" s="45">
        <v>809322</v>
      </c>
      <c r="J4" s="45">
        <v>1799043</v>
      </c>
    </row>
    <row r="5" ht="18" customHeight="1" spans="1:10" x14ac:dyDescent="0.25">
      <c r="A5" s="13" t="s">
        <v>69</v>
      </c>
      <c r="B5" s="45">
        <v>55831</v>
      </c>
      <c r="C5" s="45">
        <v>55681</v>
      </c>
      <c r="D5" s="45">
        <v>34750</v>
      </c>
      <c r="E5" s="45">
        <v>10589</v>
      </c>
      <c r="F5" s="45">
        <v>32479</v>
      </c>
      <c r="G5" s="45">
        <v>80158</v>
      </c>
      <c r="H5" s="45">
        <v>100738</v>
      </c>
      <c r="I5" s="45">
        <v>-66189</v>
      </c>
      <c r="J5" s="45">
        <v>166914</v>
      </c>
    </row>
    <row r="6" ht="18" customHeight="1" spans="1:10" x14ac:dyDescent="0.25">
      <c r="A6" s="13" t="s">
        <v>70</v>
      </c>
      <c r="B6" s="45">
        <v>812209</v>
      </c>
      <c r="C6" s="45">
        <v>811988</v>
      </c>
      <c r="D6" s="45">
        <v>142242</v>
      </c>
      <c r="E6" s="45">
        <v>631313</v>
      </c>
      <c r="F6" s="45">
        <v>715973</v>
      </c>
      <c r="G6" s="45">
        <v>902086</v>
      </c>
      <c r="H6" s="45">
        <v>998265</v>
      </c>
      <c r="I6" s="45">
        <v>341618</v>
      </c>
      <c r="J6" s="45">
        <v>1292747</v>
      </c>
    </row>
    <row r="7" ht="18" customHeight="1" spans="1:10" x14ac:dyDescent="0.25">
      <c r="A7" s="13" t="s">
        <v>71</v>
      </c>
      <c r="B7" s="45">
        <v>1357805</v>
      </c>
      <c r="C7" s="45">
        <v>1353374</v>
      </c>
      <c r="D7" s="45">
        <v>266093</v>
      </c>
      <c r="E7" s="45">
        <v>1014995</v>
      </c>
      <c r="F7" s="45">
        <v>1182936</v>
      </c>
      <c r="G7" s="45">
        <v>1533613</v>
      </c>
      <c r="H7" s="45">
        <v>1709779</v>
      </c>
      <c r="I7" s="45">
        <v>450589</v>
      </c>
      <c r="J7" s="45">
        <v>2253941</v>
      </c>
    </row>
    <row r="8" ht="18" customHeight="1" spans="1:10" x14ac:dyDescent="0.25">
      <c r="A8" s="13" t="s">
        <v>72</v>
      </c>
      <c r="B8" s="38">
        <v>2892</v>
      </c>
      <c r="C8" s="38">
        <v>2872</v>
      </c>
      <c r="D8" s="38">
        <v>215</v>
      </c>
      <c r="E8" s="38">
        <v>2644</v>
      </c>
      <c r="F8" s="38">
        <v>2749</v>
      </c>
      <c r="G8" s="38">
        <v>3031</v>
      </c>
      <c r="H8" s="38">
        <v>3175</v>
      </c>
      <c r="I8" s="38">
        <v>2149</v>
      </c>
      <c r="J8" s="38">
        <v>3692</v>
      </c>
    </row>
    <row r="10" spans="1:10" x14ac:dyDescent="0.25">
      <c r="A10" s="46" t="s">
        <v>73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2" x14ac:dyDescent="0.25">
      <c r="A11" s="13" t="s">
        <v>74</v>
      </c>
      <c r="B11" s="47" t="s">
        <v>75</v>
      </c>
    </row>
    <row r="12" spans="1:2" x14ac:dyDescent="0.25">
      <c r="A12" s="13" t="s">
        <v>76</v>
      </c>
      <c r="B12" s="47" t="s">
        <v>77</v>
      </c>
    </row>
    <row r="13" spans="1:2" x14ac:dyDescent="0.25">
      <c r="A13" s="13" t="s">
        <v>78</v>
      </c>
      <c r="B13" s="47" t="s">
        <v>75</v>
      </c>
    </row>
    <row r="14" spans="1:2" x14ac:dyDescent="0.25">
      <c r="A14" s="13" t="s">
        <v>79</v>
      </c>
      <c r="B14" s="47" t="s">
        <v>75</v>
      </c>
    </row>
    <row r="16" spans="1:3" x14ac:dyDescent="0.25">
      <c r="A16" s="48" t="s">
        <v>80</v>
      </c>
      <c r="B16" s="48" t="s">
        <v>81</v>
      </c>
      <c r="C16" s="48" t="s">
        <v>82</v>
      </c>
    </row>
    <row r="17" ht="15" customHeight="1" spans="1:3" x14ac:dyDescent="0.25">
      <c r="A17" s="49" t="s">
        <v>83</v>
      </c>
      <c r="B17" s="4">
        <v>1</v>
      </c>
      <c r="C17" s="4" t="s">
        <v>84</v>
      </c>
    </row>
    <row r="18" ht="15" customHeight="1" spans="1:3" x14ac:dyDescent="0.25">
      <c r="A18" s="49" t="s">
        <v>85</v>
      </c>
      <c r="B18" s="4">
        <v>0</v>
      </c>
      <c r="C18" s="4" t="s">
        <v>84</v>
      </c>
    </row>
    <row r="19" ht="15" customHeight="1" spans="1:3" x14ac:dyDescent="0.25">
      <c r="A19" s="49" t="s">
        <v>86</v>
      </c>
      <c r="B19" s="4">
        <v>4</v>
      </c>
      <c r="C19" s="4" t="s">
        <v>87</v>
      </c>
    </row>
    <row r="20" ht="15" customHeight="1" spans="1:3" x14ac:dyDescent="0.25">
      <c r="A20" s="49" t="s">
        <v>88</v>
      </c>
      <c r="B20" s="4">
        <v>11</v>
      </c>
      <c r="C20" s="4" t="s">
        <v>89</v>
      </c>
    </row>
    <row r="21" ht="15" customHeight="1" spans="1:3" x14ac:dyDescent="0.25">
      <c r="A21" s="49" t="s">
        <v>90</v>
      </c>
      <c r="B21" s="4">
        <v>15</v>
      </c>
      <c r="C21" s="4" t="s">
        <v>91</v>
      </c>
    </row>
    <row r="22" ht="15" customHeight="1" spans="1:3" x14ac:dyDescent="0.25">
      <c r="A22" s="49" t="s">
        <v>92</v>
      </c>
      <c r="B22" s="4">
        <v>30</v>
      </c>
      <c r="C22" s="4" t="s">
        <v>93</v>
      </c>
    </row>
    <row r="23" ht="15" customHeight="1" spans="1:3" x14ac:dyDescent="0.25">
      <c r="A23" s="49" t="s">
        <v>94</v>
      </c>
      <c r="B23" s="4">
        <v>67</v>
      </c>
      <c r="C23" s="4" t="s">
        <v>95</v>
      </c>
    </row>
    <row r="24" ht="15" customHeight="1" spans="1:3" x14ac:dyDescent="0.25">
      <c r="A24" s="49" t="s">
        <v>96</v>
      </c>
      <c r="B24" s="4">
        <v>90</v>
      </c>
      <c r="C24" s="4" t="s">
        <v>97</v>
      </c>
    </row>
    <row r="25" ht="15" customHeight="1" spans="1:3" x14ac:dyDescent="0.25">
      <c r="A25" s="49" t="s">
        <v>98</v>
      </c>
      <c r="B25" s="4">
        <v>117</v>
      </c>
      <c r="C25" s="4" t="s">
        <v>99</v>
      </c>
    </row>
    <row r="26" ht="15" customHeight="1" spans="1:3" x14ac:dyDescent="0.25">
      <c r="A26" s="49" t="s">
        <v>100</v>
      </c>
      <c r="B26" s="4">
        <v>132</v>
      </c>
      <c r="C26" s="4" t="s">
        <v>101</v>
      </c>
    </row>
    <row r="27" ht="15" customHeight="1" spans="1:3" x14ac:dyDescent="0.25">
      <c r="A27" s="49" t="s">
        <v>102</v>
      </c>
      <c r="B27" s="4">
        <v>148</v>
      </c>
      <c r="C27" s="4" t="s">
        <v>103</v>
      </c>
    </row>
    <row r="28" ht="15" customHeight="1" spans="1:3" x14ac:dyDescent="0.25">
      <c r="A28" s="49" t="s">
        <v>104</v>
      </c>
      <c r="B28" s="4">
        <v>129</v>
      </c>
      <c r="C28" s="4" t="s">
        <v>105</v>
      </c>
    </row>
    <row r="29" ht="15" customHeight="1" spans="1:3" x14ac:dyDescent="0.25">
      <c r="A29" s="49" t="s">
        <v>106</v>
      </c>
      <c r="B29" s="4">
        <v>87</v>
      </c>
      <c r="C29" s="4" t="s">
        <v>107</v>
      </c>
    </row>
    <row r="30" ht="15" customHeight="1" spans="1:3" x14ac:dyDescent="0.25">
      <c r="A30" s="49" t="s">
        <v>108</v>
      </c>
      <c r="B30" s="4">
        <v>74</v>
      </c>
      <c r="C30" s="4" t="s">
        <v>109</v>
      </c>
    </row>
    <row r="31" ht="15" customHeight="1" spans="1:3" x14ac:dyDescent="0.25">
      <c r="A31" s="49" t="s">
        <v>110</v>
      </c>
      <c r="B31" s="4">
        <v>42</v>
      </c>
      <c r="C31" s="4" t="s">
        <v>111</v>
      </c>
    </row>
    <row r="32" ht="15" customHeight="1" spans="1:3" x14ac:dyDescent="0.25">
      <c r="A32" s="49" t="s">
        <v>112</v>
      </c>
      <c r="B32" s="4">
        <v>32</v>
      </c>
      <c r="C32" s="4" t="s">
        <v>113</v>
      </c>
    </row>
    <row r="33" ht="15" customHeight="1" spans="1:3" x14ac:dyDescent="0.25">
      <c r="A33" s="49" t="s">
        <v>114</v>
      </c>
      <c r="B33" s="4">
        <v>10</v>
      </c>
      <c r="C33" s="4" t="s">
        <v>115</v>
      </c>
    </row>
    <row r="34" ht="15" customHeight="1" spans="1:3" x14ac:dyDescent="0.25">
      <c r="A34" s="49" t="s">
        <v>116</v>
      </c>
      <c r="B34" s="4">
        <v>9</v>
      </c>
      <c r="C34" s="4" t="s">
        <v>117</v>
      </c>
    </row>
    <row r="35" ht="15" customHeight="1" spans="1:3" x14ac:dyDescent="0.25">
      <c r="A35" s="49" t="s">
        <v>118</v>
      </c>
      <c r="B35" s="4">
        <v>1</v>
      </c>
      <c r="C35" s="4" t="s">
        <v>119</v>
      </c>
    </row>
    <row r="36" ht="15" customHeight="1" spans="1:3" x14ac:dyDescent="0.25">
      <c r="A36" s="49" t="s">
        <v>120</v>
      </c>
      <c r="B36" s="4">
        <v>1</v>
      </c>
      <c r="C36" s="4" t="s">
        <v>75</v>
      </c>
    </row>
    <row r="38" spans="1:8" x14ac:dyDescent="0.25">
      <c r="A38" s="48" t="s">
        <v>121</v>
      </c>
      <c r="B38" s="48" t="s">
        <v>122</v>
      </c>
      <c r="C38" s="48" t="s">
        <v>123</v>
      </c>
      <c r="D38" s="48" t="s">
        <v>124</v>
      </c>
      <c r="E38" s="48" t="s">
        <v>125</v>
      </c>
      <c r="F38" s="48" t="s">
        <v>126</v>
      </c>
      <c r="G38" s="48" t="s">
        <v>127</v>
      </c>
      <c r="H38" s="48" t="s">
        <v>128</v>
      </c>
    </row>
    <row r="39" ht="15" customHeight="1" spans="1:8" x14ac:dyDescent="0.25">
      <c r="A39" s="4" t="s">
        <v>129</v>
      </c>
      <c r="B39" s="50">
        <v>42.56</v>
      </c>
      <c r="C39" s="51">
        <v>0.034</v>
      </c>
      <c r="D39" s="39">
        <v>358505</v>
      </c>
      <c r="E39" s="39">
        <v>1173738</v>
      </c>
      <c r="F39" s="45">
        <v>53513</v>
      </c>
      <c r="G39" s="45">
        <v>715498</v>
      </c>
      <c r="H39" s="4">
        <v>6</v>
      </c>
    </row>
    <row r="40" ht="15" customHeight="1" spans="1:8" x14ac:dyDescent="0.25">
      <c r="A40" s="52" t="s">
        <v>130</v>
      </c>
      <c r="B40" s="53">
        <v>38.48</v>
      </c>
      <c r="C40" s="54">
        <v>0.026</v>
      </c>
      <c r="D40" s="55">
        <v>332945</v>
      </c>
      <c r="E40" s="55">
        <v>1172503</v>
      </c>
      <c r="F40" s="56">
        <v>26129</v>
      </c>
      <c r="G40" s="56">
        <v>691151</v>
      </c>
      <c r="H40" s="52">
        <v>6</v>
      </c>
    </row>
    <row r="41" ht="15" customHeight="1" spans="1:8" x14ac:dyDescent="0.25">
      <c r="A41" s="4" t="s">
        <v>131</v>
      </c>
      <c r="B41" s="50">
        <v>42.98</v>
      </c>
      <c r="C41" s="51">
        <v>0.022</v>
      </c>
      <c r="D41" s="39">
        <v>378043</v>
      </c>
      <c r="E41" s="39">
        <v>1391260</v>
      </c>
      <c r="F41" s="45">
        <v>70083</v>
      </c>
      <c r="G41" s="45">
        <v>894724</v>
      </c>
      <c r="H41" s="4">
        <v>5</v>
      </c>
    </row>
    <row r="42" ht="15" customHeight="1" spans="1:8" x14ac:dyDescent="0.25">
      <c r="A42" s="52" t="s">
        <v>132</v>
      </c>
      <c r="B42" s="53">
        <v>40.61</v>
      </c>
      <c r="C42" s="54">
        <v>0.026</v>
      </c>
      <c r="D42" s="55">
        <v>352477</v>
      </c>
      <c r="E42" s="55">
        <v>1245568</v>
      </c>
      <c r="F42" s="56">
        <v>45437</v>
      </c>
      <c r="G42" s="56">
        <v>762584</v>
      </c>
      <c r="H42" s="52">
        <v>6</v>
      </c>
    </row>
    <row r="43" ht="15" customHeight="1" spans="1:8" x14ac:dyDescent="0.25">
      <c r="A43" s="4" t="s">
        <v>133</v>
      </c>
      <c r="B43" s="50">
        <v>44.45</v>
      </c>
      <c r="C43" s="51">
        <v>0.021</v>
      </c>
      <c r="D43" s="39">
        <v>391239</v>
      </c>
      <c r="E43" s="39">
        <v>1443654</v>
      </c>
      <c r="F43" s="45">
        <v>83223</v>
      </c>
      <c r="G43" s="45">
        <v>946222</v>
      </c>
      <c r="H43" s="4">
        <v>5</v>
      </c>
    </row>
    <row r="44" ht="15" customHeight="1" spans="1:8" x14ac:dyDescent="0.25">
      <c r="A44" s="52" t="s">
        <v>134</v>
      </c>
      <c r="B44" s="53">
        <v>44.99</v>
      </c>
      <c r="C44" s="54">
        <v>0.023</v>
      </c>
      <c r="D44" s="55">
        <v>393594</v>
      </c>
      <c r="E44" s="55">
        <v>1425539</v>
      </c>
      <c r="F44" s="56">
        <v>86010</v>
      </c>
      <c r="G44" s="56">
        <v>934467</v>
      </c>
      <c r="H44" s="52">
        <v>5</v>
      </c>
    </row>
    <row r="45" ht="15" customHeight="1" spans="1:8" x14ac:dyDescent="0.25">
      <c r="A45" s="4" t="s">
        <v>135</v>
      </c>
      <c r="B45" s="50">
        <v>40</v>
      </c>
      <c r="C45" s="51">
        <v>0.025</v>
      </c>
      <c r="D45" s="39">
        <v>347704</v>
      </c>
      <c r="E45" s="39">
        <v>1235767</v>
      </c>
      <c r="F45" s="45">
        <v>40568</v>
      </c>
      <c r="G45" s="45">
        <v>751031</v>
      </c>
      <c r="H45" s="4">
        <v>6</v>
      </c>
    </row>
    <row r="46" ht="15" customHeight="1" spans="1:8" x14ac:dyDescent="0.25">
      <c r="A46" s="52" t="s">
        <v>136</v>
      </c>
      <c r="B46" s="53">
        <v>42.23</v>
      </c>
      <c r="C46" s="54">
        <v>0.017</v>
      </c>
      <c r="D46" s="55">
        <v>378147</v>
      </c>
      <c r="E46" s="55">
        <v>1460474</v>
      </c>
      <c r="F46" s="56">
        <v>68915</v>
      </c>
      <c r="G46" s="56">
        <v>946218</v>
      </c>
      <c r="H46" s="52">
        <v>5</v>
      </c>
    </row>
    <row r="47" ht="15" customHeight="1" spans="1:8" x14ac:dyDescent="0.25">
      <c r="A47" s="4" t="s">
        <v>137</v>
      </c>
      <c r="B47" s="50">
        <v>47.91</v>
      </c>
      <c r="C47" s="51">
        <v>0.019</v>
      </c>
      <c r="D47" s="39">
        <v>424366</v>
      </c>
      <c r="E47" s="39">
        <v>1598871</v>
      </c>
      <c r="F47" s="45">
        <v>115902</v>
      </c>
      <c r="G47" s="45">
        <v>1094279</v>
      </c>
      <c r="H47" s="4">
        <v>5</v>
      </c>
    </row>
    <row r="48" ht="15" customHeight="1" spans="1:8" x14ac:dyDescent="0.25">
      <c r="A48" s="52" t="s">
        <v>138</v>
      </c>
      <c r="B48" s="53">
        <v>47.37</v>
      </c>
      <c r="C48" s="54">
        <v>0.023</v>
      </c>
      <c r="D48" s="55">
        <v>414960</v>
      </c>
      <c r="E48" s="55">
        <v>1512190</v>
      </c>
      <c r="F48" s="56">
        <v>107280</v>
      </c>
      <c r="G48" s="56">
        <v>1019206</v>
      </c>
      <c r="H48" s="52">
        <v>5</v>
      </c>
    </row>
    <row r="49" ht="15" customHeight="1" spans="1:8" x14ac:dyDescent="0.25">
      <c r="A49" s="4" t="s">
        <v>139</v>
      </c>
      <c r="B49" s="50">
        <v>41.64</v>
      </c>
      <c r="C49" s="51">
        <v>0.029</v>
      </c>
      <c r="D49" s="39">
        <v>356124</v>
      </c>
      <c r="E49" s="39">
        <v>1218307</v>
      </c>
      <c r="F49" s="45">
        <v>50100</v>
      </c>
      <c r="G49" s="45">
        <v>746627</v>
      </c>
      <c r="H49" s="4">
        <v>6</v>
      </c>
    </row>
    <row r="50" ht="15" customHeight="1" spans="1:8" x14ac:dyDescent="0.25">
      <c r="A50" s="52" t="s">
        <v>140</v>
      </c>
      <c r="B50" s="53">
        <v>42.85</v>
      </c>
      <c r="C50" s="54">
        <v>0.029</v>
      </c>
      <c r="D50" s="55">
        <v>367067</v>
      </c>
      <c r="E50" s="55">
        <v>1259863</v>
      </c>
      <c r="F50" s="56">
        <v>60931</v>
      </c>
      <c r="G50" s="56">
        <v>787031</v>
      </c>
      <c r="H50" s="52">
        <v>5</v>
      </c>
    </row>
    <row r="51" ht="15" customHeight="1" spans="1:8" x14ac:dyDescent="0.25">
      <c r="A51" s="4" t="s">
        <v>141</v>
      </c>
      <c r="B51" s="50">
        <v>39.41</v>
      </c>
      <c r="C51" s="51">
        <v>0.021</v>
      </c>
      <c r="D51" s="39">
        <v>347318</v>
      </c>
      <c r="E51" s="39">
        <v>1285415</v>
      </c>
      <c r="F51" s="45">
        <v>39222</v>
      </c>
      <c r="G51" s="45">
        <v>786911</v>
      </c>
      <c r="H51" s="4">
        <v>6</v>
      </c>
    </row>
    <row r="52" ht="15" customHeight="1" spans="1:8" x14ac:dyDescent="0.25">
      <c r="A52" s="52" t="s">
        <v>142</v>
      </c>
      <c r="B52" s="53">
        <v>42.87</v>
      </c>
      <c r="C52" s="54">
        <v>0.019</v>
      </c>
      <c r="D52" s="55">
        <v>380111</v>
      </c>
      <c r="E52" s="55">
        <v>1432682</v>
      </c>
      <c r="F52" s="56">
        <v>71583</v>
      </c>
      <c r="G52" s="56">
        <v>927746</v>
      </c>
      <c r="H52" s="52">
        <v>5</v>
      </c>
    </row>
    <row r="53" ht="15" customHeight="1" spans="1:8" x14ac:dyDescent="0.25">
      <c r="A53" s="4" t="s">
        <v>143</v>
      </c>
      <c r="B53" s="50">
        <v>43.06</v>
      </c>
      <c r="C53" s="51">
        <v>0.022</v>
      </c>
      <c r="D53" s="39">
        <v>378860</v>
      </c>
      <c r="E53" s="39">
        <v>1394623</v>
      </c>
      <c r="F53" s="45">
        <v>70868</v>
      </c>
      <c r="G53" s="45">
        <v>897903</v>
      </c>
      <c r="H53" s="4">
        <v>5</v>
      </c>
    </row>
    <row r="54" ht="15" customHeight="1" spans="1:8" x14ac:dyDescent="0.25">
      <c r="A54" s="52" t="s">
        <v>144</v>
      </c>
      <c r="B54" s="53">
        <v>45.67</v>
      </c>
      <c r="C54" s="54">
        <v>0.022</v>
      </c>
      <c r="D54" s="55">
        <v>401702</v>
      </c>
      <c r="E54" s="55">
        <v>1476959</v>
      </c>
      <c r="F54" s="56">
        <v>93742</v>
      </c>
      <c r="G54" s="56">
        <v>980663</v>
      </c>
      <c r="H54" s="52">
        <v>5</v>
      </c>
    </row>
    <row r="55" ht="15" customHeight="1" spans="1:8" x14ac:dyDescent="0.25">
      <c r="A55" s="4" t="s">
        <v>145</v>
      </c>
      <c r="B55" s="50">
        <v>43.81</v>
      </c>
      <c r="C55" s="51">
        <v>0.026</v>
      </c>
      <c r="D55" s="39">
        <v>380100</v>
      </c>
      <c r="E55" s="39">
        <v>1342112</v>
      </c>
      <c r="F55" s="45">
        <v>73084</v>
      </c>
      <c r="G55" s="45">
        <v>859408</v>
      </c>
      <c r="H55" s="4">
        <v>5</v>
      </c>
    </row>
    <row r="56" ht="15" customHeight="1" spans="1:8" x14ac:dyDescent="0.25">
      <c r="A56" s="52" t="s">
        <v>146</v>
      </c>
      <c r="B56" s="53">
        <v>39.06</v>
      </c>
      <c r="C56" s="54">
        <v>0.027</v>
      </c>
      <c r="D56" s="55">
        <v>336964</v>
      </c>
      <c r="E56" s="55">
        <v>1184118</v>
      </c>
      <c r="F56" s="56">
        <v>30348</v>
      </c>
      <c r="G56" s="56">
        <v>703990</v>
      </c>
      <c r="H56" s="52">
        <v>6</v>
      </c>
    </row>
    <row r="57" ht="15" customHeight="1" spans="1:8" x14ac:dyDescent="0.25">
      <c r="A57" s="4" t="s">
        <v>147</v>
      </c>
      <c r="B57" s="50">
        <v>42.85</v>
      </c>
      <c r="C57" s="51">
        <v>0.032</v>
      </c>
      <c r="D57" s="39">
        <v>362658</v>
      </c>
      <c r="E57" s="39">
        <v>1206232</v>
      </c>
      <c r="F57" s="45">
        <v>57346</v>
      </c>
      <c r="G57" s="45">
        <v>743416</v>
      </c>
      <c r="H57" s="4">
        <v>5</v>
      </c>
    </row>
    <row r="58" ht="15" customHeight="1" spans="1:8" x14ac:dyDescent="0.25">
      <c r="A58" s="52" t="s">
        <v>148</v>
      </c>
      <c r="B58" s="53">
        <v>40.11</v>
      </c>
      <c r="C58" s="54">
        <v>0.028</v>
      </c>
      <c r="D58" s="55">
        <v>345036</v>
      </c>
      <c r="E58" s="55">
        <v>1198542</v>
      </c>
      <c r="F58" s="56">
        <v>38612</v>
      </c>
      <c r="G58" s="56">
        <v>721870</v>
      </c>
      <c r="H58" s="52">
        <v>6</v>
      </c>
    </row>
  </sheetData>
  <mergeCells count="2">
    <mergeCell ref="A1:H1"/>
    <mergeCell ref="A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30" customWidth="1"/>
    <col min="2" max="4" width="18" customWidth="1"/>
    <col min="5" max="5" width="4" customWidth="1"/>
    <col min="6" max="8" width="18" customWidth="1"/>
  </cols>
  <sheetData>
    <row r="1" ht="24" customHeight="1" spans="1:8" x14ac:dyDescent="0.25">
      <c r="A1" s="57" t="s">
        <v>149</v>
      </c>
      <c r="B1" s="57"/>
      <c r="C1" s="57"/>
      <c r="D1" s="57"/>
      <c r="E1" s="57"/>
      <c r="F1" s="57"/>
      <c r="G1" s="57"/>
      <c r="H1" s="57"/>
    </row>
    <row r="3" ht="20" customHeight="1" spans="1:4" x14ac:dyDescent="0.25">
      <c r="A3" s="57" t="s">
        <v>150</v>
      </c>
      <c r="B3" s="57"/>
      <c r="C3" s="57"/>
      <c r="D3" s="57"/>
    </row>
    <row r="4" ht="18" customHeight="1" spans="1:4" x14ac:dyDescent="0.25">
      <c r="A4" s="13" t="s">
        <v>151</v>
      </c>
      <c r="B4" s="58" t="s">
        <v>152</v>
      </c>
      <c r="C4" s="58" t="s">
        <v>153</v>
      </c>
      <c r="D4" s="58" t="s">
        <v>154</v>
      </c>
    </row>
    <row r="5" ht="18" customHeight="1" spans="1:4" x14ac:dyDescent="0.25">
      <c r="A5" s="13" t="s">
        <v>155</v>
      </c>
      <c r="B5" s="59">
        <v>148160</v>
      </c>
      <c r="C5" s="60">
        <v>166680</v>
      </c>
      <c r="D5" s="60">
        <v>185200</v>
      </c>
    </row>
    <row r="6" ht="18" customHeight="1" spans="1:4" x14ac:dyDescent="0.25">
      <c r="A6" s="13" t="s">
        <v>156</v>
      </c>
      <c r="B6" s="60">
        <v>347720</v>
      </c>
      <c r="C6" s="60">
        <v>391185</v>
      </c>
      <c r="D6" s="60">
        <v>434650</v>
      </c>
    </row>
    <row r="7" ht="18" customHeight="1" spans="1:4" x14ac:dyDescent="0.25">
      <c r="A7" s="13" t="s">
        <v>157</v>
      </c>
      <c r="B7" s="60">
        <v>717800</v>
      </c>
      <c r="C7" s="60">
        <v>807525</v>
      </c>
      <c r="D7" s="61">
        <v>897250</v>
      </c>
    </row>
    <row r="10" ht="20" customHeight="1" spans="1:4" x14ac:dyDescent="0.25">
      <c r="A10" s="57" t="s">
        <v>158</v>
      </c>
      <c r="B10" s="57"/>
      <c r="C10" s="57"/>
      <c r="D10" s="57"/>
    </row>
    <row r="11" ht="18" customHeight="1" spans="1:4" x14ac:dyDescent="0.25">
      <c r="A11" s="13" t="s">
        <v>151</v>
      </c>
      <c r="B11" s="58" t="s">
        <v>152</v>
      </c>
      <c r="C11" s="58" t="s">
        <v>153</v>
      </c>
      <c r="D11" s="58" t="s">
        <v>154</v>
      </c>
    </row>
    <row r="12" ht="18" customHeight="1" spans="1:4" x14ac:dyDescent="0.25">
      <c r="A12" s="13" t="s">
        <v>155</v>
      </c>
      <c r="B12" s="59">
        <v>518440</v>
      </c>
      <c r="C12" s="60">
        <v>583245</v>
      </c>
      <c r="D12" s="60">
        <v>648050</v>
      </c>
    </row>
    <row r="13" ht="18" customHeight="1" spans="1:4" x14ac:dyDescent="0.25">
      <c r="A13" s="13" t="s">
        <v>156</v>
      </c>
      <c r="B13" s="60">
        <v>1238920</v>
      </c>
      <c r="C13" s="60">
        <v>1393785</v>
      </c>
      <c r="D13" s="60">
        <v>1548650</v>
      </c>
    </row>
    <row r="14" ht="18" customHeight="1" spans="1:4" x14ac:dyDescent="0.25">
      <c r="A14" s="13" t="s">
        <v>157</v>
      </c>
      <c r="B14" s="60">
        <v>2576240</v>
      </c>
      <c r="C14" s="60">
        <v>2898270</v>
      </c>
      <c r="D14" s="61">
        <v>3220300</v>
      </c>
    </row>
    <row r="17" ht="20" customHeight="1" spans="1:4" x14ac:dyDescent="0.25">
      <c r="A17" s="57" t="s">
        <v>159</v>
      </c>
      <c r="B17" s="57"/>
      <c r="C17" s="57"/>
      <c r="D17" s="57"/>
    </row>
    <row r="18" ht="18" customHeight="1" spans="1:4" x14ac:dyDescent="0.25">
      <c r="A18" s="13" t="s">
        <v>151</v>
      </c>
      <c r="B18" s="58" t="s">
        <v>152</v>
      </c>
      <c r="C18" s="58" t="s">
        <v>153</v>
      </c>
      <c r="D18" s="58" t="s">
        <v>154</v>
      </c>
    </row>
    <row r="19" ht="18" customHeight="1" spans="1:4" x14ac:dyDescent="0.25">
      <c r="A19" s="13" t="s">
        <v>155</v>
      </c>
      <c r="B19" s="59">
        <v>189752</v>
      </c>
      <c r="C19" s="60">
        <v>254557</v>
      </c>
      <c r="D19" s="60">
        <v>319362</v>
      </c>
    </row>
    <row r="20" ht="18" customHeight="1" spans="1:4" x14ac:dyDescent="0.25">
      <c r="A20" s="13" t="s">
        <v>156</v>
      </c>
      <c r="B20" s="60">
        <v>753536</v>
      </c>
      <c r="C20" s="60">
        <v>908401</v>
      </c>
      <c r="D20" s="60">
        <v>1063266</v>
      </c>
    </row>
    <row r="21" ht="18" customHeight="1" spans="1:4" x14ac:dyDescent="0.25">
      <c r="A21" s="13" t="s">
        <v>157</v>
      </c>
      <c r="B21" s="60">
        <v>1799992</v>
      </c>
      <c r="C21" s="60">
        <v>2122022</v>
      </c>
      <c r="D21" s="61">
        <v>2444052</v>
      </c>
    </row>
    <row r="24" ht="20" customHeight="1" spans="1:4" x14ac:dyDescent="0.25">
      <c r="A24" s="57" t="s">
        <v>160</v>
      </c>
      <c r="B24" s="57"/>
      <c r="C24" s="57"/>
      <c r="D24" s="57"/>
    </row>
    <row r="25" ht="18" customHeight="1" spans="1:4" x14ac:dyDescent="0.25">
      <c r="A25" s="13" t="s">
        <v>151</v>
      </c>
      <c r="B25" s="58" t="s">
        <v>152</v>
      </c>
      <c r="C25" s="58" t="s">
        <v>153</v>
      </c>
      <c r="D25" s="58" t="s">
        <v>154</v>
      </c>
    </row>
    <row r="26" ht="18" customHeight="1" spans="1:4" x14ac:dyDescent="0.25">
      <c r="A26" s="13" t="s">
        <v>155</v>
      </c>
      <c r="B26" s="62">
        <v>14</v>
      </c>
      <c r="C26" s="62">
        <v>12</v>
      </c>
      <c r="D26" s="62">
        <v>10</v>
      </c>
    </row>
    <row r="27" ht="18" customHeight="1" spans="1:4" x14ac:dyDescent="0.25">
      <c r="A27" s="13" t="s">
        <v>156</v>
      </c>
      <c r="B27" s="62">
        <v>6</v>
      </c>
      <c r="C27" s="62">
        <v>5</v>
      </c>
      <c r="D27" s="62">
        <v>4</v>
      </c>
    </row>
    <row r="28" ht="18" customHeight="1" spans="1:4" x14ac:dyDescent="0.25">
      <c r="A28" s="13" t="s">
        <v>157</v>
      </c>
      <c r="B28" s="62">
        <v>3</v>
      </c>
      <c r="C28" s="62">
        <v>3</v>
      </c>
      <c r="D28" s="62">
        <v>3</v>
      </c>
    </row>
    <row r="30" spans="1:8" x14ac:dyDescent="0.25">
      <c r="A30" s="15" t="s">
        <v>161</v>
      </c>
      <c r="B30" s="15"/>
      <c r="C30" s="15"/>
      <c r="D30" s="15"/>
      <c r="E30" s="15"/>
      <c r="F30" s="15"/>
      <c r="G30" s="15"/>
      <c r="H30" s="15"/>
    </row>
  </sheetData>
  <mergeCells count="6">
    <mergeCell ref="A1:H1"/>
    <mergeCell ref="A3:D3"/>
    <mergeCell ref="A10:D10"/>
    <mergeCell ref="A17:D17"/>
    <mergeCell ref="A24:D24"/>
    <mergeCell ref="A30: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Hypothèses</vt:lpstr>
      <vt:lpstr>Projection 36 mois</vt:lpstr>
      <vt:lpstr>Monte Carlo</vt:lpstr>
      <vt:lpstr>Sensibilité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Nivra Telecom — Modèle Financier 2026</dc:creator>
  <dc:title/>
  <dc:subject/>
  <dc:description/>
  <cp:keywords/>
  <cp:category/>
  <cp:lastModifiedBy>Unknown</cp:lastModifiedBy>
  <dcterms:created xsi:type="dcterms:W3CDTF">2026-06-14T02:15:18Z</dcterms:created>
  <dcterms:modified xsi:type="dcterms:W3CDTF">2026-06-14T02:15:18Z</dcterms:modified>
</cp:coreProperties>
</file>